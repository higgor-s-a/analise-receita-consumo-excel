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16ED3FAE-C3DB-47AE-8226-1978A7AE7B1C}" xr6:coauthVersionLast="47" xr6:coauthVersionMax="47" xr10:uidLastSave="{00000000-0000-0000-0000-000000000000}"/>
  <bookViews>
    <workbookView xWindow="-108" yWindow="-108" windowWidth="23256" windowHeight="12456" activeTab="1" xr2:uid="{95B13CEA-CE28-4250-9A36-35D86F144DC0}"/>
  </bookViews>
  <sheets>
    <sheet name="BASE_DADOS" sheetId="1" r:id="rId1"/>
    <sheet name="DASHBOARD" sheetId="4" r:id="rId2"/>
    <sheet name="apoio_dash" sheetId="5" r:id="rId3"/>
  </sheets>
  <definedNames>
    <definedName name="SegmentaçãodeDados_Categoria">#N/A</definedName>
    <definedName name="SegmentaçãodeDados_Dia_Semana">#N/A</definedName>
    <definedName name="SegmentaçãodeDados_Periodo">#N/A</definedName>
  </definedNames>
  <calcPr calcId="191029"/>
  <pivotCaches>
    <pivotCache cacheId="1281" r:id="rId4"/>
    <pivotCache cacheId="1284" r:id="rId5"/>
    <pivotCache cacheId="1287" r:id="rId6"/>
    <pivotCache cacheId="1290" r:id="rId7"/>
    <pivotCache cacheId="1293" r:id="rId8"/>
    <pivotCache cacheId="1296" r:id="rId9"/>
    <pivotCache cacheId="1299" r:id="rId10"/>
  </pivotCaches>
  <extLst>
    <ext xmlns:x14="http://schemas.microsoft.com/office/spreadsheetml/2009/9/main" uri="{876F7934-8845-4945-9796-88D515C7AA90}">
      <x14:pivotCaches>
        <pivotCache cacheId="1280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dados_a501c503-3ac9-4a81-bf19-df56d55961cd" name="tb_dados" connection="Consulta - tb_dados"/>
        </x15:modelTables>
        <x15:extLst>
          <ext xmlns:x16="http://schemas.microsoft.com/office/spreadsheetml/2014/11/main" uri="{9835A34E-60A6-4A7C-AAB8-D5F71C897F49}">
            <x16:modelTimeGroupings>
              <x16:modelTimeGrouping tableName="tb_dado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  <x16:modelTimeGrouping tableName="tb_dados" columnName="Hora" columnId="Hora">
                <x16:calculatedTimeColumn columnName="Hora (Hora)" columnId="Hora (Hora)" contentType="hours" isSelected="1"/>
                <x16:calculatedTimeColumn columnName="Hora (Minuto)" columnId="Hora (Minuto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4" i="5"/>
  <c r="C4" i="5"/>
  <c r="B4" i="5"/>
  <c r="A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A51A41-82CD-4260-AE52-1CCC5FAA967D}" name="Consulta - tb_dados" description="Conexão com a consulta 'tb_dados' na pasta de trabalho." type="100" refreshedVersion="8" minRefreshableVersion="5">
    <extLst>
      <ext xmlns:x15="http://schemas.microsoft.com/office/spreadsheetml/2010/11/main" uri="{DE250136-89BD-433C-8126-D09CA5730AF9}">
        <x15:connection id="58003ad6-eb74-450f-8358-60e9f0bcb317"/>
      </ext>
    </extLst>
  </connection>
  <connection id="2" xr16:uid="{DCEECAF0-F455-4A3A-9570-B9885E4AB63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<sst xmlns="http://schemas.openxmlformats.org/spreadsheetml/2006/main" count="4030" uniqueCount="39">
  <si>
    <t>ID</t>
  </si>
  <si>
    <t>Data</t>
  </si>
  <si>
    <t>Hora</t>
  </si>
  <si>
    <t>DataHora</t>
  </si>
  <si>
    <t>Categoria</t>
  </si>
  <si>
    <t>Subcategoria</t>
  </si>
  <si>
    <t>Item</t>
  </si>
  <si>
    <t>Valor</t>
  </si>
  <si>
    <t>Quantidade</t>
  </si>
  <si>
    <t>Observação</t>
  </si>
  <si>
    <t>Eletrônicos</t>
  </si>
  <si>
    <t>Acessórios</t>
  </si>
  <si>
    <t>Móveis</t>
  </si>
  <si>
    <t>App</t>
  </si>
  <si>
    <t>Site</t>
  </si>
  <si>
    <t>WhatsApp</t>
  </si>
  <si>
    <t>Loja Física</t>
  </si>
  <si>
    <t>Monitor 24"</t>
  </si>
  <si>
    <t>Mouse Sem Fio</t>
  </si>
  <si>
    <t>Cadeira Office</t>
  </si>
  <si>
    <t>Mesa Escrivaninha</t>
  </si>
  <si>
    <t>Teclado Mecânico</t>
  </si>
  <si>
    <t>Smartphone X</t>
  </si>
  <si>
    <t>Notebook Gamer</t>
  </si>
  <si>
    <t>Headset USB</t>
  </si>
  <si>
    <t>Cancelado</t>
  </si>
  <si>
    <t>Em trânsito</t>
  </si>
  <si>
    <t>Entregue</t>
  </si>
  <si>
    <t>Pendente</t>
  </si>
  <si>
    <t>Rótulos de Linha</t>
  </si>
  <si>
    <t>Total Geral</t>
  </si>
  <si>
    <t>fev</t>
  </si>
  <si>
    <t>mar</t>
  </si>
  <si>
    <t>Receita Total</t>
  </si>
  <si>
    <t>Status</t>
  </si>
  <si>
    <t>Qtd Total</t>
  </si>
  <si>
    <t>Ticket Médio</t>
  </si>
  <si>
    <t>Frequência</t>
  </si>
  <si>
    <t>Análise de Receita e Comportamento de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</si>
</sst>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5">
    <dxf>
      <numFmt numFmtId="1" formatCode="0"/>
    </dxf>
    <dxf>
      <numFmt numFmtId="165" formatCode="&quot;R$&quot;\ #,##0.00"/>
    </dxf>
    <dxf>
      <numFmt numFmtId="27" formatCode="dd/mm/yyyy\ hh:mm"/>
    </dxf>
    <dxf>
      <numFmt numFmtId="164" formatCode="h:mm;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2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50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3" Type="http://schemas.openxmlformats.org/officeDocument/2006/relationships/customXml" Target="../customXml/item33.xml"/><Relationship Id="rId5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7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52" Type="http://schemas.openxmlformats.org/officeDocument/2006/relationships/customXml" Target="../customXml/item32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microsoft.com/office/2007/relationships/slicerCache" Target="slicerCaches/slicerCache3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31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[BI_Operacional.xlsx]apoio_dash!Tabela dinâmica5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da Receita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apoio_dash!$G$1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apoio_dash!$F$2:$F$35</c:f>
              <c:multiLvlStrCache>
                <c:ptCount val="31"/>
                <c:lvl>
                  <c:pt idx="0">
                    <c:v>25/02/2026</c:v>
                  </c:pt>
                  <c:pt idx="1">
                    <c:v>26/02/2026</c:v>
                  </c:pt>
                  <c:pt idx="2">
                    <c:v>27/02/2026</c:v>
                  </c:pt>
                  <c:pt idx="3">
                    <c:v>28/02/2026</c:v>
                  </c:pt>
                  <c:pt idx="4">
                    <c:v>01/03/2026</c:v>
                  </c:pt>
                  <c:pt idx="5">
                    <c:v>02/03/2026</c:v>
                  </c:pt>
                  <c:pt idx="6">
                    <c:v>03/03/2026</c:v>
                  </c:pt>
                  <c:pt idx="7">
                    <c:v>04/03/2026</c:v>
                  </c:pt>
                  <c:pt idx="8">
                    <c:v>05/03/2026</c:v>
                  </c:pt>
                  <c:pt idx="9">
                    <c:v>06/03/2026</c:v>
                  </c:pt>
                  <c:pt idx="10">
                    <c:v>07/03/2026</c:v>
                  </c:pt>
                  <c:pt idx="11">
                    <c:v>08/03/2026</c:v>
                  </c:pt>
                  <c:pt idx="12">
                    <c:v>09/03/2026</c:v>
                  </c:pt>
                  <c:pt idx="13">
                    <c:v>10/03/2026</c:v>
                  </c:pt>
                  <c:pt idx="14">
                    <c:v>11/03/2026</c:v>
                  </c:pt>
                  <c:pt idx="15">
                    <c:v>12/03/2026</c:v>
                  </c:pt>
                  <c:pt idx="16">
                    <c:v>13/03/2026</c:v>
                  </c:pt>
                  <c:pt idx="17">
                    <c:v>14/03/2026</c:v>
                  </c:pt>
                  <c:pt idx="18">
                    <c:v>15/03/2026</c:v>
                  </c:pt>
                  <c:pt idx="19">
                    <c:v>16/03/2026</c:v>
                  </c:pt>
                  <c:pt idx="20">
                    <c:v>17/03/2026</c:v>
                  </c:pt>
                  <c:pt idx="21">
                    <c:v>18/03/2026</c:v>
                  </c:pt>
                  <c:pt idx="22">
                    <c:v>19/03/2026</c:v>
                  </c:pt>
                  <c:pt idx="23">
                    <c:v>20/03/2026</c:v>
                  </c:pt>
                  <c:pt idx="24">
                    <c:v>21/03/2026</c:v>
                  </c:pt>
                  <c:pt idx="25">
                    <c:v>22/03/2026</c:v>
                  </c:pt>
                  <c:pt idx="26">
                    <c:v>23/03/2026</c:v>
                  </c:pt>
                  <c:pt idx="27">
                    <c:v>24/03/2026</c:v>
                  </c:pt>
                  <c:pt idx="28">
                    <c:v>25/03/2026</c:v>
                  </c:pt>
                  <c:pt idx="29">
                    <c:v>26/03/2026</c:v>
                  </c:pt>
                  <c:pt idx="30">
                    <c:v>27/03/2026</c:v>
                  </c:pt>
                </c:lvl>
                <c:lvl>
                  <c:pt idx="0">
                    <c:v>fev</c:v>
                  </c:pt>
                  <c:pt idx="4">
                    <c:v>mar</c:v>
                  </c:pt>
                </c:lvl>
              </c:multiLvlStrCache>
            </c:multiLvlStrRef>
          </c:cat>
          <c:val>
            <c:numRef>
              <c:f>apoio_dash!$G$2:$G$35</c:f>
              <c:numCache>
                <c:formatCode>General</c:formatCode>
                <c:ptCount val="31"/>
                <c:pt idx="0">
                  <c:v>31510</c:v>
                </c:pt>
                <c:pt idx="1">
                  <c:v>29570</c:v>
                </c:pt>
                <c:pt idx="2">
                  <c:v>28450</c:v>
                </c:pt>
                <c:pt idx="3">
                  <c:v>39950</c:v>
                </c:pt>
                <c:pt idx="4">
                  <c:v>28450</c:v>
                </c:pt>
                <c:pt idx="5">
                  <c:v>35850</c:v>
                </c:pt>
                <c:pt idx="6">
                  <c:v>29110</c:v>
                </c:pt>
                <c:pt idx="7">
                  <c:v>41450</c:v>
                </c:pt>
                <c:pt idx="8">
                  <c:v>56620</c:v>
                </c:pt>
                <c:pt idx="9">
                  <c:v>36850</c:v>
                </c:pt>
                <c:pt idx="10">
                  <c:v>35380</c:v>
                </c:pt>
                <c:pt idx="11">
                  <c:v>26680</c:v>
                </c:pt>
                <c:pt idx="12">
                  <c:v>57500</c:v>
                </c:pt>
                <c:pt idx="13">
                  <c:v>19790</c:v>
                </c:pt>
                <c:pt idx="14">
                  <c:v>35690</c:v>
                </c:pt>
                <c:pt idx="15">
                  <c:v>26930</c:v>
                </c:pt>
                <c:pt idx="16">
                  <c:v>34690</c:v>
                </c:pt>
                <c:pt idx="17">
                  <c:v>42080</c:v>
                </c:pt>
                <c:pt idx="18">
                  <c:v>38810</c:v>
                </c:pt>
                <c:pt idx="19">
                  <c:v>27060</c:v>
                </c:pt>
                <c:pt idx="20">
                  <c:v>45860</c:v>
                </c:pt>
                <c:pt idx="21">
                  <c:v>39810</c:v>
                </c:pt>
                <c:pt idx="22">
                  <c:v>46210</c:v>
                </c:pt>
                <c:pt idx="23">
                  <c:v>76900</c:v>
                </c:pt>
                <c:pt idx="24">
                  <c:v>41130</c:v>
                </c:pt>
                <c:pt idx="25">
                  <c:v>29370</c:v>
                </c:pt>
                <c:pt idx="26">
                  <c:v>33910</c:v>
                </c:pt>
                <c:pt idx="27">
                  <c:v>28020</c:v>
                </c:pt>
                <c:pt idx="28">
                  <c:v>28790</c:v>
                </c:pt>
                <c:pt idx="29">
                  <c:v>19910</c:v>
                </c:pt>
                <c:pt idx="30">
                  <c:v>28330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0-488E-B5FD-36F1887CD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905088"/>
        <c:axId val="765906048"/>
      </c:lineChart>
      <c:catAx>
        <c:axId val="76590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5906048"/>
        <c:crosses val="autoZero"/>
        <c:auto val="1"/>
        <c:lblAlgn val="ctr"/>
        <c:lblOffset val="100"/>
        <c:tickLblSkip val="2"/>
        <c:noMultiLvlLbl val="0"/>
      </c:catAx>
      <c:valAx>
        <c:axId val="76590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590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[BI_Operacional.xlsx]apoio_dash!Tabela dinâmica6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apoio_dash!$J$1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apoio_dash!$I$2:$I$5</c:f>
              <c:strCache>
                <c:ptCount val="3"/>
                <c:pt idx="0">
                  <c:v>Acessórios</c:v>
                </c:pt>
                <c:pt idx="1">
                  <c:v>Eletrônicos</c:v>
                </c:pt>
                <c:pt idx="2">
                  <c:v>Móveis</c:v>
                </c:pt>
              </c:strCache>
            </c:strRef>
          </c:cat>
          <c:val>
            <c:numRef>
              <c:f>apoio_dash!$J$2:$J$5</c:f>
              <c:numCache>
                <c:formatCode>General</c:formatCode>
                <c:ptCount val="3"/>
                <c:pt idx="0">
                  <c:v>85640</c:v>
                </c:pt>
                <c:pt idx="1">
                  <c:v>826800</c:v>
                </c:pt>
                <c:pt idx="2">
                  <c:v>208220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7-44F0-9569-13E582015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6408784"/>
        <c:axId val="766416464"/>
      </c:barChart>
      <c:catAx>
        <c:axId val="76640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416464"/>
        <c:crosses val="autoZero"/>
        <c:auto val="1"/>
        <c:lblAlgn val="ctr"/>
        <c:lblOffset val="100"/>
        <c:noMultiLvlLbl val="0"/>
      </c:catAx>
      <c:valAx>
        <c:axId val="76641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40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[BI_Operacional.xlsx]apoio_dash!Tabela dinâmica7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Padrão de Receita por Horário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apoio_dash!$M$1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93-4902-8DA5-81DA0F757890}"/>
              </c:ext>
            </c:extLst>
          </c:dPt>
          <c:cat>
            <c:strRef>
              <c:f>apoio_dash!$L$2:$L$17</c:f>
              <c:strCache>
                <c:ptCount val="15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</c:strCache>
            </c:strRef>
          </c:cat>
          <c:val>
            <c:numRef>
              <c:f>apoio_dash!$M$2:$M$17</c:f>
              <c:numCache>
                <c:formatCode>General</c:formatCode>
                <c:ptCount val="15"/>
                <c:pt idx="0">
                  <c:v>53240</c:v>
                </c:pt>
                <c:pt idx="1">
                  <c:v>71280</c:v>
                </c:pt>
                <c:pt idx="2">
                  <c:v>62130</c:v>
                </c:pt>
                <c:pt idx="3">
                  <c:v>73550</c:v>
                </c:pt>
                <c:pt idx="4">
                  <c:v>76690</c:v>
                </c:pt>
                <c:pt idx="5">
                  <c:v>63540</c:v>
                </c:pt>
                <c:pt idx="6">
                  <c:v>83750</c:v>
                </c:pt>
                <c:pt idx="7">
                  <c:v>71140</c:v>
                </c:pt>
                <c:pt idx="8">
                  <c:v>67320</c:v>
                </c:pt>
                <c:pt idx="9">
                  <c:v>75890</c:v>
                </c:pt>
                <c:pt idx="10">
                  <c:v>78960</c:v>
                </c:pt>
                <c:pt idx="11">
                  <c:v>77680</c:v>
                </c:pt>
                <c:pt idx="12">
                  <c:v>96870</c:v>
                </c:pt>
                <c:pt idx="13">
                  <c:v>82570</c:v>
                </c:pt>
                <c:pt idx="14">
                  <c:v>86050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3-4902-8DA5-81DA0F757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404944"/>
        <c:axId val="766412624"/>
      </c:barChart>
      <c:catAx>
        <c:axId val="76640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412624"/>
        <c:crosses val="autoZero"/>
        <c:auto val="1"/>
        <c:lblAlgn val="ctr"/>
        <c:lblOffset val="100"/>
        <c:noMultiLvlLbl val="0"/>
      </c:catAx>
      <c:valAx>
        <c:axId val="766412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640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105785</xdr:colOff>
      <xdr:row>2</xdr:row>
      <xdr:rowOff>53340</xdr:rowOff>
    </xdr:from>
    <xdr:to>
      <xdr:col>2</xdr:col>
      <xdr:colOff>1210685</xdr:colOff>
      <xdr:row>5</xdr:row>
      <xdr:rowOff>274320</xdr:rowOff>
    </xdr:to>
    <xdr:sp macro="" textlink="apoio_dash!A4">
      <xdr:nvSpPr>
        <xdr:cNvPr id="2" name="Retângulo: Cantos Arredondados 1">
          <a:extLst>
            <a:ext uri="{FF2B5EF4-FFF2-40B4-BE49-F238E27FC236}">
              <a16:creationId xmlns:a16="http://schemas.microsoft.com/office/drawing/2014/main" id="{8015899B-6DFE-2675-033D-C837C02F7F42}"/>
            </a:ext>
          </a:extLst>
        </xdr:cNvPr>
        <xdr:cNvSpPr/>
      </xdr:nvSpPr>
      <xdr:spPr>
        <a:xfrm>
          <a:off x="105785" y="756725"/>
          <a:ext cx="3683977" cy="1276057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Receita Total</a:t>
          </a:r>
        </a:p>
        <a:p>
          <a:pPr algn="ctr"/>
          <a:fld id="{5AD11754-725E-4205-88FA-50007FF9380A}" type="TxLink">
            <a:rPr lang="en-US" sz="2800" b="0" i="0" u="none" strike="noStrike">
              <a:solidFill>
                <a:srgbClr val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pPr algn="ctr"/>
            <a:t>R$ 1.120.660,00</a:t>
          </a:fld>
          <a:endParaRPr lang="pt-BR" sz="28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3</xdr:col>
      <xdr:colOff>82925</xdr:colOff>
      <xdr:row>2</xdr:row>
      <xdr:rowOff>68580</xdr:rowOff>
    </xdr:from>
    <xdr:to>
      <xdr:col>5</xdr:col>
      <xdr:colOff>1190963</xdr:colOff>
      <xdr:row>5</xdr:row>
      <xdr:rowOff>289560</xdr:rowOff>
    </xdr:to>
    <xdr:sp macro="" textlink="apoio_dash!B4">
      <xdr:nvSpPr>
        <xdr:cNvPr id="3" name="Retângulo: Cantos Arredondados 2">
          <a:extLst>
            <a:ext uri="{FF2B5EF4-FFF2-40B4-BE49-F238E27FC236}">
              <a16:creationId xmlns:a16="http://schemas.microsoft.com/office/drawing/2014/main" id="{0E3D73F4-6D4D-40F5-9E4F-EDB4B3B3BB39}"/>
            </a:ext>
          </a:extLst>
        </xdr:cNvPr>
        <xdr:cNvSpPr/>
      </xdr:nvSpPr>
      <xdr:spPr>
        <a:xfrm>
          <a:off x="3955678" y="767827"/>
          <a:ext cx="3689873" cy="1269851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Quantidade de Registros</a:t>
          </a:r>
        </a:p>
        <a:p>
          <a:pPr algn="ctr"/>
          <a:fld id="{62166CE3-DD1D-4702-B388-608CD36C27EE}" type="TxLink">
            <a:rPr lang="en-US" sz="2800" b="0" i="0" u="none" strike="noStrike">
              <a:solidFill>
                <a:srgbClr val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pPr algn="ctr"/>
            <a:t>1949</a:t>
          </a:fld>
          <a:endParaRPr lang="pt-BR" sz="28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6</xdr:col>
      <xdr:colOff>119678</xdr:colOff>
      <xdr:row>2</xdr:row>
      <xdr:rowOff>60960</xdr:rowOff>
    </xdr:from>
    <xdr:to>
      <xdr:col>8</xdr:col>
      <xdr:colOff>1227716</xdr:colOff>
      <xdr:row>5</xdr:row>
      <xdr:rowOff>281940</xdr:rowOff>
    </xdr:to>
    <xdr:sp macro="" textlink="apoio_dash!C4">
      <xdr:nvSpPr>
        <xdr:cNvPr id="4" name="Retângulo: Cantos Arredondados 3">
          <a:extLst>
            <a:ext uri="{FF2B5EF4-FFF2-40B4-BE49-F238E27FC236}">
              <a16:creationId xmlns:a16="http://schemas.microsoft.com/office/drawing/2014/main" id="{AFC4815E-30EC-4419-9FF1-77514E9A83C6}"/>
            </a:ext>
          </a:extLst>
        </xdr:cNvPr>
        <xdr:cNvSpPr/>
      </xdr:nvSpPr>
      <xdr:spPr>
        <a:xfrm>
          <a:off x="7865184" y="760207"/>
          <a:ext cx="3689873" cy="1269851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Ticket Médio</a:t>
          </a:r>
          <a:endParaRPr lang="en-US" sz="1600" b="1" i="0" u="none" strike="noStrike">
            <a:solidFill>
              <a:srgbClr val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algn="ctr"/>
          <a:fld id="{401B832D-F771-4FA7-A2B4-6D114F39E957}" type="TxLink">
            <a:rPr lang="en-US" sz="2800" b="0" i="0" u="none" strike="noStrike">
              <a:solidFill>
                <a:srgbClr val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pPr algn="ctr"/>
            <a:t>R$ 1.120,66</a:t>
          </a:fld>
          <a:endParaRPr lang="pt-BR" sz="28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9</xdr:col>
      <xdr:colOff>92334</xdr:colOff>
      <xdr:row>2</xdr:row>
      <xdr:rowOff>77544</xdr:rowOff>
    </xdr:from>
    <xdr:to>
      <xdr:col>11</xdr:col>
      <xdr:colOff>1200372</xdr:colOff>
      <xdr:row>5</xdr:row>
      <xdr:rowOff>298524</xdr:rowOff>
    </xdr:to>
    <xdr:sp macro="" textlink="apoio_dash!D4">
      <xdr:nvSpPr>
        <xdr:cNvPr id="5" name="Retângulo: Cantos Arredondados 4">
          <a:extLst>
            <a:ext uri="{FF2B5EF4-FFF2-40B4-BE49-F238E27FC236}">
              <a16:creationId xmlns:a16="http://schemas.microsoft.com/office/drawing/2014/main" id="{56D10094-14EC-40A7-A525-B5EDEAA64531}"/>
            </a:ext>
          </a:extLst>
        </xdr:cNvPr>
        <xdr:cNvSpPr/>
      </xdr:nvSpPr>
      <xdr:spPr>
        <a:xfrm>
          <a:off x="11710593" y="776791"/>
          <a:ext cx="3689873" cy="1269851"/>
        </a:xfrm>
        <a:prstGeom prst="round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Frequência de Operações</a:t>
          </a:r>
        </a:p>
        <a:p>
          <a:pPr algn="ctr"/>
          <a:fld id="{2235F5CC-4869-473A-9DC3-DD1A3190E4EF}" type="TxLink">
            <a:rPr lang="en-US" sz="2800" b="0" i="0" u="none" strike="noStrike">
              <a:solidFill>
                <a:srgbClr val="000000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pPr algn="ctr"/>
            <a:t>1000</a:t>
          </a:fld>
          <a:endParaRPr lang="pt-BR" sz="2800"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131084</xdr:colOff>
      <xdr:row>20</xdr:row>
      <xdr:rowOff>60747</xdr:rowOff>
    </xdr:from>
    <xdr:to>
      <xdr:col>6</xdr:col>
      <xdr:colOff>3198</xdr:colOff>
      <xdr:row>29</xdr:row>
      <xdr:rowOff>342102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38BC69D-1209-40CA-99CB-18BA30287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70338</xdr:colOff>
      <xdr:row>20</xdr:row>
      <xdr:rowOff>49022</xdr:rowOff>
    </xdr:from>
    <xdr:to>
      <xdr:col>11</xdr:col>
      <xdr:colOff>1195754</xdr:colOff>
      <xdr:row>29</xdr:row>
      <xdr:rowOff>342101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2B99755-0FCB-45EE-A662-D96AB3678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128953</xdr:colOff>
      <xdr:row>6</xdr:row>
      <xdr:rowOff>84191</xdr:rowOff>
    </xdr:from>
    <xdr:to>
      <xdr:col>11</xdr:col>
      <xdr:colOff>1195753</xdr:colOff>
      <xdr:row>19</xdr:row>
      <xdr:rowOff>332509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57945D3-A188-4CFB-8156-579A8425F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31653</xdr:colOff>
      <xdr:row>2</xdr:row>
      <xdr:rowOff>107320</xdr:rowOff>
    </xdr:from>
    <xdr:to>
      <xdr:col>13</xdr:col>
      <xdr:colOff>570915</xdr:colOff>
      <xdr:row>9</xdr:row>
      <xdr:rowOff>226748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ategoria">
              <a:extLst>
                <a:ext uri="{FF2B5EF4-FFF2-40B4-BE49-F238E27FC236}">
                  <a16:creationId xmlns:a16="http://schemas.microsoft.com/office/drawing/2014/main" id="{FD48B7A1-DD7B-14F6-05B4-649564959F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85013" y="808360"/>
              <a:ext cx="1827042" cy="2573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19343</xdr:colOff>
      <xdr:row>9</xdr:row>
      <xdr:rowOff>300697</xdr:rowOff>
    </xdr:from>
    <xdr:to>
      <xdr:col>13</xdr:col>
      <xdr:colOff>558605</xdr:colOff>
      <xdr:row>17</xdr:row>
      <xdr:rowOff>68434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Periodo">
              <a:extLst>
                <a:ext uri="{FF2B5EF4-FFF2-40B4-BE49-F238E27FC236}">
                  <a16:creationId xmlns:a16="http://schemas.microsoft.com/office/drawing/2014/main" id="{DBE1A5A1-C47A-251B-AF85-69EC61D137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72703" y="3455377"/>
              <a:ext cx="1827042" cy="25718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18756</xdr:colOff>
      <xdr:row>17</xdr:row>
      <xdr:rowOff>130659</xdr:rowOff>
    </xdr:from>
    <xdr:to>
      <xdr:col>13</xdr:col>
      <xdr:colOff>558018</xdr:colOff>
      <xdr:row>30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Dia_Semana">
              <a:extLst>
                <a:ext uri="{FF2B5EF4-FFF2-40B4-BE49-F238E27FC236}">
                  <a16:creationId xmlns:a16="http://schemas.microsoft.com/office/drawing/2014/main" id="{CE70D584-BBC1-7FAD-FDC1-481EA4C0E2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_Seman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72116" y="6089499"/>
              <a:ext cx="1827042" cy="44261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0</xdr:col>
      <xdr:colOff>1223996</xdr:colOff>
      <xdr:row>8</xdr:row>
      <xdr:rowOff>210805</xdr:rowOff>
    </xdr:from>
    <xdr:ext cx="5667642" cy="501676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C7121F1D-F131-02AF-5642-38DEB0334564}"/>
            </a:ext>
          </a:extLst>
        </xdr:cNvPr>
        <xdr:cNvSpPr txBox="1"/>
      </xdr:nvSpPr>
      <xdr:spPr>
        <a:xfrm>
          <a:off x="1223996" y="2981714"/>
          <a:ext cx="5667642" cy="501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 b="1">
              <a:latin typeface="Segoe UI" panose="020B0502040204020203" pitchFamily="34" charset="0"/>
              <a:cs typeface="Segoe UI" panose="020B0502040204020203" pitchFamily="34" charset="0"/>
            </a:rPr>
            <a:t>O período da tarde apresenta maior concentração de receita,</a:t>
          </a:r>
        </a:p>
        <a:p>
          <a:r>
            <a:rPr lang="pt-BR" sz="1200" b="1">
              <a:latin typeface="Segoe UI" panose="020B0502040204020203" pitchFamily="34" charset="0"/>
              <a:cs typeface="Segoe UI" panose="020B0502040204020203" pitchFamily="34" charset="0"/>
            </a:rPr>
            <a:t>sugerindo oportunidade para reforço de equipe e campanhas nesse horário.</a:t>
          </a:r>
        </a:p>
      </xdr:txBody>
    </xdr:sp>
    <xdr:clientData/>
  </xdr:oneCellAnchor>
  <xdr:oneCellAnchor>
    <xdr:from>
      <xdr:col>7</xdr:col>
      <xdr:colOff>1200697</xdr:colOff>
      <xdr:row>26</xdr:row>
      <xdr:rowOff>242307</xdr:rowOff>
    </xdr:from>
    <xdr:ext cx="4768357" cy="501676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107CF30A-1CCE-4F50-B2B2-59BC00B5587A}"/>
            </a:ext>
          </a:extLst>
        </xdr:cNvPr>
        <xdr:cNvSpPr txBox="1"/>
      </xdr:nvSpPr>
      <xdr:spPr>
        <a:xfrm>
          <a:off x="10220006" y="9247762"/>
          <a:ext cx="4768357" cy="5016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>
              <a:latin typeface="Segoe UI" panose="020B0502040204020203" pitchFamily="34" charset="0"/>
              <a:cs typeface="Segoe UI" panose="020B0502040204020203" pitchFamily="34" charset="0"/>
            </a:rPr>
            <a:t>A categoria Eletrônicos concentra a maior parte da receita,</a:t>
          </a:r>
        </a:p>
        <a:p>
          <a:r>
            <a:rPr lang="pt-BR" sz="1200">
              <a:latin typeface="Segoe UI" panose="020B0502040204020203" pitchFamily="34" charset="0"/>
              <a:cs typeface="Segoe UI" panose="020B0502040204020203" pitchFamily="34" charset="0"/>
            </a:rPr>
            <a:t>indicando forte dependência desse segmento no faturamento total.</a:t>
          </a:r>
        </a:p>
      </xdr:txBody>
    </xdr:sp>
    <xdr:clientData/>
  </xdr:oneCellAnchor>
  <xdr:oneCellAnchor>
    <xdr:from>
      <xdr:col>1</xdr:col>
      <xdr:colOff>702672</xdr:colOff>
      <xdr:row>29</xdr:row>
      <xdr:rowOff>17038</xdr:rowOff>
    </xdr:from>
    <xdr:ext cx="3755002" cy="297004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303B7037-E14C-4DD0-AB8D-601C036179D1}"/>
            </a:ext>
          </a:extLst>
        </xdr:cNvPr>
        <xdr:cNvSpPr txBox="1"/>
      </xdr:nvSpPr>
      <xdr:spPr>
        <a:xfrm>
          <a:off x="1991145" y="10061583"/>
          <a:ext cx="3755002" cy="2970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>
              <a:latin typeface="Segoe UI" panose="020B0502040204020203" pitchFamily="34" charset="0"/>
              <a:cs typeface="Segoe UI" panose="020B0502040204020203" pitchFamily="34" charset="0"/>
            </a:rPr>
            <a:t>Dia 20 de março de 2026 é o dia com maior receita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ggor" refreshedDate="46112.62226585648" backgroundQuery="1" createdVersion="8" refreshedVersion="8" minRefreshableVersion="3" recordCount="0" supportSubquery="1" supportAdvancedDrill="1" xr:uid="{274CBF9E-BD70-4D62-BFFC-8099CFE141F4}">
  <cacheSource type="external" connectionId="2"/>
  <cacheFields count="4">
    <cacheField name="[Measures].[Receita Total]" caption="Receita Total" numFmtId="0" hierarchy="21" level="32767"/>
    <cacheField name="[tb_dados].[Dia_Semana].[Dia_Semana]" caption="Dia_Semana" numFmtId="0" hierarchy="14" level="1">
      <sharedItems containsSemiMixedTypes="0" containsNonDate="0" containsString="0"/>
    </cacheField>
    <cacheField name="[tb_dados].[Categoria].[Categoria]" caption="Categoria" numFmtId="0" hierarchy="4" level="1">
      <sharedItems containsSemiMixedTypes="0" containsNonDate="0" containsString="0"/>
    </cacheField>
    <cacheField name="[tb_dados].[Periodo].[Periodo]" caption="Periodo" numFmtId="0" hierarchy="16" level="1">
      <sharedItems containsSemiMixedTypes="0" containsNonDate="0" containsString="0"/>
    </cacheField>
  </cacheFields>
  <cacheHierarchies count="38">
    <cacheHierarchy uniqueName="[tb_dados].[ID]" caption="ID" attribute="1" defaultMemberUniqueName="[tb_dados].[ID].[All]" allUniqueName="[tb_dados].[ID].[All]" dimensionUniqueName="[tb_dados]" displayFolder="" count="0" memberValueDatatype="20" unbalanced="0"/>
    <cacheHierarchy uniqueName="[tb_dados].[Data]" caption="Data" attribute="1" time="1" defaultMemberUniqueName="[tb_dados].[Data].[All]" allUniqueName="[tb_dados].[Data].[All]" dimensionUniqueName="[tb_dados]" displayFolder="" count="0" memberValueDatatype="7" unbalanced="0"/>
    <cacheHierarchy uniqueName="[tb_dados].[Hora]" caption="Hora" attribute="1" time="1" defaultMemberUniqueName="[tb_dados].[Hora].[All]" allUniqueName="[tb_dados].[Hora].[All]" dimensionUniqueName="[tb_dados]" displayFolder="" count="0" memberValueDatatype="7" unbalanced="0"/>
    <cacheHierarchy uniqueName="[tb_dados].[DataHora]" caption="DataHora" attribute="1" time="1" defaultMemberUniqueName="[tb_dados].[DataHora].[All]" allUniqueName="[tb_dados].[DataHora].[All]" dimensionUniqueName="[tb_dados]" displayFolder="" count="0" memberValueDatatype="7" unbalanced="0"/>
    <cacheHierarchy uniqueName="[tb_dados].[Categoria]" caption="Categoria" attribute="1" defaultMemberUniqueName="[tb_dados].[Categoria].[All]" allUniqueName="[tb_dados].[Categoria].[All]" dimensionUniqueName="[tb_dados]" displayFolder="" count="2" memberValueDatatype="130" unbalanced="0">
      <fieldsUsage count="2">
        <fieldUsage x="-1"/>
        <fieldUsage x="2"/>
      </fieldsUsage>
    </cacheHierarchy>
    <cacheHierarchy uniqueName="[tb_dados].[Subcategoria]" caption="Subcategoria" attribute="1" defaultMemberUniqueName="[tb_dados].[Subcategoria].[All]" allUniqueName="[tb_dados].[Subcategoria].[All]" dimensionUniqueName="[tb_dados]" displayFolder="" count="0" memberValueDatatype="130" unbalanced="0"/>
    <cacheHierarchy uniqueName="[tb_dados].[Item]" caption="Item" attribute="1" defaultMemberUniqueName="[tb_dados].[Item].[All]" allUniqueName="[tb_dados].[Item].[All]" dimensionUniqueName="[tb_dados]" displayFolder="" count="0" memberValueDatatype="130" unbalanced="0"/>
    <cacheHierarchy uniqueName="[tb_dados].[Valor]" caption="Valor" attribute="1" defaultMemberUniqueName="[tb_dados].[Valor].[All]" allUniqueName="[tb_dados].[Valor].[All]" dimensionUniqueName="[tb_dados]" displayFolder="" count="0" memberValueDatatype="5" unbalanced="0"/>
    <cacheHierarchy uniqueName="[tb_dados].[Quantidade]" caption="Quantidade" attribute="1" defaultMemberUniqueName="[tb_dados].[Quantidade].[All]" allUniqueName="[tb_dados].[Quantidade].[All]" dimensionUniqueName="[tb_dados]" displayFolder="" count="0" memberValueDatatype="20" unbalanced="0"/>
    <cacheHierarchy uniqueName="[tb_dados].[Observação]" caption="Observação" attribute="1" defaultMemberUniqueName="[tb_dados].[Observação].[All]" allUniqueName="[tb_dados].[Observação].[All]" dimensionUniqueName="[tb_dados]" displayFolder="" count="0" memberValueDatatype="130" unbalanced="0"/>
    <cacheHierarchy uniqueName="[tb_dados].[Status]" caption="Status" attribute="1" defaultMemberUniqueName="[tb_dados].[Status].[All]" allUniqueName="[tb_dados].[Status].[All]" dimensionUniqueName="[tb_dados]" displayFolder="" count="0" memberValueDatatype="130" unbalanced="0"/>
    <cacheHierarchy uniqueName="[tb_dados].[Ano]" caption="Ano" attribute="1" defaultMemberUniqueName="[tb_dados].[Ano].[All]" allUniqueName="[tb_dados].[Ano].[All]" dimensionUniqueName="[tb_dados]" displayFolder="" count="0" memberValueDatatype="20" unbalanced="0"/>
    <cacheHierarchy uniqueName="[tb_dados].[Mes]" caption="Mes" attribute="1" defaultMemberUniqueName="[tb_dados].[Mes].[All]" allUniqueName="[tb_dados].[Mes].[All]" dimensionUniqueName="[tb_dados]" displayFolder="" count="0" memberValueDatatype="20" unbalanced="0"/>
    <cacheHierarchy uniqueName="[tb_dados].[Mes_Nome]" caption="Mes_Nome" attribute="1" defaultMemberUniqueName="[tb_dados].[Mes_Nome].[All]" allUniqueName="[tb_dados].[Mes_Nome].[All]" dimensionUniqueName="[tb_dados]" displayFolder="" count="0" memberValueDatatype="130" unbalanced="0"/>
    <cacheHierarchy uniqueName="[tb_dados].[Dia_Semana]" caption="Dia_Semana" attribute="1" defaultMemberUniqueName="[tb_dados].[Dia_Semana].[All]" allUniqueName="[tb_dados].[Dia_Semana].[All]" dimensionUniqueName="[tb_dados]" displayFolder="" count="2" memberValueDatatype="130" unbalanced="0">
      <fieldsUsage count="2">
        <fieldUsage x="-1"/>
        <fieldUsage x="1"/>
      </fieldsUsage>
    </cacheHierarchy>
    <cacheHierarchy uniqueName="[tb_dados].[Hora_Num]" caption="Hora_Num" attribute="1" defaultMemberUniqueName="[tb_dados].[Hora_Num].[All]" allUniqueName="[tb_dados].[Hora_Num].[All]" dimensionUniqueName="[tb_dados]" displayFolder="" count="0" memberValueDatatype="20" unbalanced="0"/>
    <cacheHierarchy uniqueName="[tb_dados].[Periodo]" caption="Periodo" attribute="1" defaultMemberUniqueName="[tb_dados].[Periodo].[All]" allUniqueName="[tb_dados].[Periodo].[All]" dimensionUniqueName="[tb_dados]" displayFolder="" count="2" memberValueDatatype="130" unbalanced="0">
      <fieldsUsage count="2">
        <fieldUsage x="-1"/>
        <fieldUsage x="3"/>
      </fieldsUsage>
    </cacheHierarchy>
    <cacheHierarchy uniqueName="[tb_dados].[Data (Mês)]" caption="Data (Mês)" attribute="1" defaultMemberUniqueName="[tb_dados].[Data (Mês)].[All]" allUniqueName="[tb_dados].[Data (Mês)].[All]" dimensionUniqueName="[tb_dados]" displayFolder="" count="0" memberValueDatatype="130" unbalanced="0"/>
    <cacheHierarchy uniqueName="[tb_dados].[Hora (Hora)]" caption="Hora (Hora)" attribute="1" defaultMemberUniqueName="[tb_dados].[Hora (Hora)].[All]" allUniqueName="[tb_dados].[Hora (Hora)].[All]" dimensionUniqueName="[tb_dados]" displayFolder="" count="0" memberValueDatatype="130" unbalanced="0"/>
    <cacheHierarchy uniqueName="[tb_dados].[Hora (Minuto)]" caption="Hora (Minuto)" attribute="1" defaultMemberUniqueName="[tb_dados].[Hora (Minuto)].[All]" allUniqueName="[tb_dados].[Hora (Minuto)].[All]" dimensionUniqueName="[tb_dados]" displayFolder="" count="0" memberValueDatatype="130" unbalanced="0"/>
    <cacheHierarchy uniqueName="[tb_dados].[Data (Índice de Mês)]" caption="Data (Índice de Mês)" attribute="1" defaultMemberUniqueName="[tb_dados].[Data (Índice de Mês)].[All]" allUniqueName="[tb_dados].[Data (Índice de Mês)].[All]" dimensionUniqueName="[tb_dados]" displayFolder="" count="0" memberValueDatatype="20" unbalanced="0" hidden="1"/>
    <cacheHierarchy uniqueName="[Measures].[Receita Total]" caption="Receita Total" measure="1" displayFolder="" measureGroup="tb_dados" count="0" oneField="1">
      <fieldsUsage count="1">
        <fieldUsage x="0"/>
      </fieldsUsage>
    </cacheHierarchy>
    <cacheHierarchy uniqueName="[Measures].[Qtd Total]" caption="Qtd Total" measure="1" displayFolder="" measureGroup="tb_dados" count="0"/>
    <cacheHierarchy uniqueName="[Measures].[Média Valor]" caption="Média Valor" measure="1" displayFolder="" measureGroup="tb_dados" count="0"/>
    <cacheHierarchy uniqueName="[Measures].[Frequência]" caption="Frequência" measure="1" displayFolder="" measureGroup="tb_dados" count="0"/>
    <cacheHierarchy uniqueName="[Measures].[Ticket Médio]" caption="Ticket Médio" measure="1" displayFolder="" measureGroup="tb_dados" count="0"/>
    <cacheHierarchy uniqueName="[Measures].[Receita Dia Anterior]" caption="Receita Dia Anterior" measure="1" displayFolder="" measureGroup="tb_dados" count="0"/>
    <cacheHierarchy uniqueName="[Measures].[Variação]" caption="Variação" measure="1" displayFolder="" measureGroup="tb_dados" count="0"/>
    <cacheHierarchy uniqueName="[Measures].[Classificação]" caption="Classificação" measure="1" displayFolder="" measureGroup="tb_dados" count="0"/>
    <cacheHierarchy uniqueName="[Measures].[Insight]" caption="Insight" measure="1" displayFolder="" measureGroup="tb_dados" count="0"/>
    <cacheHierarchy uniqueName="[Measures].[Cancelamentos]" caption="Cancelamentos" measure="1" displayFolder="" measureGroup="tb_dados" count="0"/>
    <cacheHierarchy uniqueName="[Measures].[Taxa Cancelamento]" caption="Taxa Cancelamento" measure="1" displayFolder="" measureGroup="tb_dados" count="0"/>
    <cacheHierarchy uniqueName="[Measures].[Receita Concluída]" caption="Receita Concluída" measure="1" displayFolder="" measureGroup="tb_dados" count="0"/>
    <cacheHierarchy uniqueName="[Measures].[__XL_Count tb_dados]" caption="__XL_Count tb_dados" measure="1" displayFolder="" measureGroup="tb_dados" count="0" hidden="1"/>
    <cacheHierarchy uniqueName="[Measures].[__No measures defined]" caption="__No measures defined" measure="1" displayFolder="" count="0" hidden="1"/>
    <cacheHierarchy uniqueName="[Measures].[Soma de Hora_Num]" caption="Soma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Categoria]" caption="Contagem de Categoria" measure="1" displayFolder="" measureGroup="tb_dado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ntagem de Hora_Num]" caption="Contagem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b_dados" uniqueName="[tb_dados]" caption="tb_dados"/>
  </dimensions>
  <measureGroups count="1">
    <measureGroup name="tb_dados" caption="tb_d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ggor" refreshedDate="46112.622270023145" backgroundQuery="1" createdVersion="8" refreshedVersion="8" minRefreshableVersion="3" recordCount="0" supportSubquery="1" supportAdvancedDrill="1" xr:uid="{9E41A17D-A3C4-4BB0-A3E1-EC11E10BE5CF}">
  <cacheSource type="external" connectionId="2"/>
  <cacheFields count="4">
    <cacheField name="[Measures].[Qtd Total]" caption="Qtd Total" numFmtId="0" hierarchy="22" level="32767"/>
    <cacheField name="[tb_dados].[Dia_Semana].[Dia_Semana]" caption="Dia_Semana" numFmtId="0" hierarchy="14" level="1">
      <sharedItems containsSemiMixedTypes="0" containsNonDate="0" containsString="0"/>
    </cacheField>
    <cacheField name="[tb_dados].[Categoria].[Categoria]" caption="Categoria" numFmtId="0" hierarchy="4" level="1">
      <sharedItems containsSemiMixedTypes="0" containsNonDate="0" containsString="0"/>
    </cacheField>
    <cacheField name="[tb_dados].[Periodo].[Periodo]" caption="Periodo" numFmtId="0" hierarchy="16" level="1">
      <sharedItems containsSemiMixedTypes="0" containsNonDate="0" containsString="0"/>
    </cacheField>
  </cacheFields>
  <cacheHierarchies count="38">
    <cacheHierarchy uniqueName="[tb_dados].[ID]" caption="ID" attribute="1" defaultMemberUniqueName="[tb_dados].[ID].[All]" allUniqueName="[tb_dados].[ID].[All]" dimensionUniqueName="[tb_dados]" displayFolder="" count="0" memberValueDatatype="20" unbalanced="0"/>
    <cacheHierarchy uniqueName="[tb_dados].[Data]" caption="Data" attribute="1" time="1" defaultMemberUniqueName="[tb_dados].[Data].[All]" allUniqueName="[tb_dados].[Data].[All]" dimensionUniqueName="[tb_dados]" displayFolder="" count="0" memberValueDatatype="7" unbalanced="0"/>
    <cacheHierarchy uniqueName="[tb_dados].[Hora]" caption="Hora" attribute="1" time="1" defaultMemberUniqueName="[tb_dados].[Hora].[All]" allUniqueName="[tb_dados].[Hora].[All]" dimensionUniqueName="[tb_dados]" displayFolder="" count="0" memberValueDatatype="7" unbalanced="0"/>
    <cacheHierarchy uniqueName="[tb_dados].[DataHora]" caption="DataHora" attribute="1" time="1" defaultMemberUniqueName="[tb_dados].[DataHora].[All]" allUniqueName="[tb_dados].[DataHora].[All]" dimensionUniqueName="[tb_dados]" displayFolder="" count="0" memberValueDatatype="7" unbalanced="0"/>
    <cacheHierarchy uniqueName="[tb_dados].[Categoria]" caption="Categoria" attribute="1" defaultMemberUniqueName="[tb_dados].[Categoria].[All]" allUniqueName="[tb_dados].[Categoria].[All]" dimensionUniqueName="[tb_dados]" displayFolder="" count="2" memberValueDatatype="130" unbalanced="0">
      <fieldsUsage count="2">
        <fieldUsage x="-1"/>
        <fieldUsage x="2"/>
      </fieldsUsage>
    </cacheHierarchy>
    <cacheHierarchy uniqueName="[tb_dados].[Subcategoria]" caption="Subcategoria" attribute="1" defaultMemberUniqueName="[tb_dados].[Subcategoria].[All]" allUniqueName="[tb_dados].[Subcategoria].[All]" dimensionUniqueName="[tb_dados]" displayFolder="" count="0" memberValueDatatype="130" unbalanced="0"/>
    <cacheHierarchy uniqueName="[tb_dados].[Item]" caption="Item" attribute="1" defaultMemberUniqueName="[tb_dados].[Item].[All]" allUniqueName="[tb_dados].[Item].[All]" dimensionUniqueName="[tb_dados]" displayFolder="" count="0" memberValueDatatype="130" unbalanced="0"/>
    <cacheHierarchy uniqueName="[tb_dados].[Valor]" caption="Valor" attribute="1" defaultMemberUniqueName="[tb_dados].[Valor].[All]" allUniqueName="[tb_dados].[Valor].[All]" dimensionUniqueName="[tb_dados]" displayFolder="" count="0" memberValueDatatype="5" unbalanced="0"/>
    <cacheHierarchy uniqueName="[tb_dados].[Quantidade]" caption="Quantidade" attribute="1" defaultMemberUniqueName="[tb_dados].[Quantidade].[All]" allUniqueName="[tb_dados].[Quantidade].[All]" dimensionUniqueName="[tb_dados]" displayFolder="" count="0" memberValueDatatype="20" unbalanced="0"/>
    <cacheHierarchy uniqueName="[tb_dados].[Observação]" caption="Observação" attribute="1" defaultMemberUniqueName="[tb_dados].[Observação].[All]" allUniqueName="[tb_dados].[Observação].[All]" dimensionUniqueName="[tb_dados]" displayFolder="" count="0" memberValueDatatype="130" unbalanced="0"/>
    <cacheHierarchy uniqueName="[tb_dados].[Status]" caption="Status" attribute="1" defaultMemberUniqueName="[tb_dados].[Status].[All]" allUniqueName="[tb_dados].[Status].[All]" dimensionUniqueName="[tb_dados]" displayFolder="" count="0" memberValueDatatype="130" unbalanced="0"/>
    <cacheHierarchy uniqueName="[tb_dados].[Ano]" caption="Ano" attribute="1" defaultMemberUniqueName="[tb_dados].[Ano].[All]" allUniqueName="[tb_dados].[Ano].[All]" dimensionUniqueName="[tb_dados]" displayFolder="" count="0" memberValueDatatype="20" unbalanced="0"/>
    <cacheHierarchy uniqueName="[tb_dados].[Mes]" caption="Mes" attribute="1" defaultMemberUniqueName="[tb_dados].[Mes].[All]" allUniqueName="[tb_dados].[Mes].[All]" dimensionUniqueName="[tb_dados]" displayFolder="" count="0" memberValueDatatype="20" unbalanced="0"/>
    <cacheHierarchy uniqueName="[tb_dados].[Mes_Nome]" caption="Mes_Nome" attribute="1" defaultMemberUniqueName="[tb_dados].[Mes_Nome].[All]" allUniqueName="[tb_dados].[Mes_Nome].[All]" dimensionUniqueName="[tb_dados]" displayFolder="" count="0" memberValueDatatype="130" unbalanced="0"/>
    <cacheHierarchy uniqueName="[tb_dados].[Dia_Semana]" caption="Dia_Semana" attribute="1" defaultMemberUniqueName="[tb_dados].[Dia_Semana].[All]" allUniqueName="[tb_dados].[Dia_Semana].[All]" dimensionUniqueName="[tb_dados]" displayFolder="" count="2" memberValueDatatype="130" unbalanced="0">
      <fieldsUsage count="2">
        <fieldUsage x="-1"/>
        <fieldUsage x="1"/>
      </fieldsUsage>
    </cacheHierarchy>
    <cacheHierarchy uniqueName="[tb_dados].[Hora_Num]" caption="Hora_Num" attribute="1" defaultMemberUniqueName="[tb_dados].[Hora_Num].[All]" allUniqueName="[tb_dados].[Hora_Num].[All]" dimensionUniqueName="[tb_dados]" displayFolder="" count="0" memberValueDatatype="20" unbalanced="0"/>
    <cacheHierarchy uniqueName="[tb_dados].[Periodo]" caption="Periodo" attribute="1" defaultMemberUniqueName="[tb_dados].[Periodo].[All]" allUniqueName="[tb_dados].[Periodo].[All]" dimensionUniqueName="[tb_dados]" displayFolder="" count="2" memberValueDatatype="130" unbalanced="0">
      <fieldsUsage count="2">
        <fieldUsage x="-1"/>
        <fieldUsage x="3"/>
      </fieldsUsage>
    </cacheHierarchy>
    <cacheHierarchy uniqueName="[tb_dados].[Data (Mês)]" caption="Data (Mês)" attribute="1" defaultMemberUniqueName="[tb_dados].[Data (Mês)].[All]" allUniqueName="[tb_dados].[Data (Mês)].[All]" dimensionUniqueName="[tb_dados]" displayFolder="" count="0" memberValueDatatype="130" unbalanced="0"/>
    <cacheHierarchy uniqueName="[tb_dados].[Hora (Hora)]" caption="Hora (Hora)" attribute="1" defaultMemberUniqueName="[tb_dados].[Hora (Hora)].[All]" allUniqueName="[tb_dados].[Hora (Hora)].[All]" dimensionUniqueName="[tb_dados]" displayFolder="" count="0" memberValueDatatype="130" unbalanced="0"/>
    <cacheHierarchy uniqueName="[tb_dados].[Hora (Minuto)]" caption="Hora (Minuto)" attribute="1" defaultMemberUniqueName="[tb_dados].[Hora (Minuto)].[All]" allUniqueName="[tb_dados].[Hora (Minuto)].[All]" dimensionUniqueName="[tb_dados]" displayFolder="" count="0" memberValueDatatype="130" unbalanced="0"/>
    <cacheHierarchy uniqueName="[tb_dados].[Data (Índice de Mês)]" caption="Data (Índice de Mês)" attribute="1" defaultMemberUniqueName="[tb_dados].[Data (Índice de Mês)].[All]" allUniqueName="[tb_dados].[Data (Índice de Mês)].[All]" dimensionUniqueName="[tb_dados]" displayFolder="" count="0" memberValueDatatype="20" unbalanced="0" hidden="1"/>
    <cacheHierarchy uniqueName="[Measures].[Receita Total]" caption="Receita Total" measure="1" displayFolder="" measureGroup="tb_dados" count="0"/>
    <cacheHierarchy uniqueName="[Measures].[Qtd Total]" caption="Qtd Total" measure="1" displayFolder="" measureGroup="tb_dados" count="0" oneField="1">
      <fieldsUsage count="1">
        <fieldUsage x="0"/>
      </fieldsUsage>
    </cacheHierarchy>
    <cacheHierarchy uniqueName="[Measures].[Média Valor]" caption="Média Valor" measure="1" displayFolder="" measureGroup="tb_dados" count="0"/>
    <cacheHierarchy uniqueName="[Measures].[Frequência]" caption="Frequência" measure="1" displayFolder="" measureGroup="tb_dados" count="0"/>
    <cacheHierarchy uniqueName="[Measures].[Ticket Médio]" caption="Ticket Médio" measure="1" displayFolder="" measureGroup="tb_dados" count="0"/>
    <cacheHierarchy uniqueName="[Measures].[Receita Dia Anterior]" caption="Receita Dia Anterior" measure="1" displayFolder="" measureGroup="tb_dados" count="0"/>
    <cacheHierarchy uniqueName="[Measures].[Variação]" caption="Variação" measure="1" displayFolder="" measureGroup="tb_dados" count="0"/>
    <cacheHierarchy uniqueName="[Measures].[Classificação]" caption="Classificação" measure="1" displayFolder="" measureGroup="tb_dados" count="0"/>
    <cacheHierarchy uniqueName="[Measures].[Insight]" caption="Insight" measure="1" displayFolder="" measureGroup="tb_dados" count="0"/>
    <cacheHierarchy uniqueName="[Measures].[Cancelamentos]" caption="Cancelamentos" measure="1" displayFolder="" measureGroup="tb_dados" count="0"/>
    <cacheHierarchy uniqueName="[Measures].[Taxa Cancelamento]" caption="Taxa Cancelamento" measure="1" displayFolder="" measureGroup="tb_dados" count="0"/>
    <cacheHierarchy uniqueName="[Measures].[Receita Concluída]" caption="Receita Concluída" measure="1" displayFolder="" measureGroup="tb_dados" count="0"/>
    <cacheHierarchy uniqueName="[Measures].[__XL_Count tb_dados]" caption="__XL_Count tb_dados" measure="1" displayFolder="" measureGroup="tb_dados" count="0" hidden="1"/>
    <cacheHierarchy uniqueName="[Measures].[__No measures defined]" caption="__No measures defined" measure="1" displayFolder="" count="0" hidden="1"/>
    <cacheHierarchy uniqueName="[Measures].[Soma de Hora_Num]" caption="Soma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Categoria]" caption="Contagem de Categoria" measure="1" displayFolder="" measureGroup="tb_dado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ntagem de Hora_Num]" caption="Contagem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b_dados" uniqueName="[tb_dados]" caption="tb_dados"/>
  </dimensions>
  <measureGroups count="1">
    <measureGroup name="tb_dados" caption="tb_d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ggor" refreshedDate="46112.622271990738" backgroundQuery="1" createdVersion="8" refreshedVersion="8" minRefreshableVersion="3" recordCount="0" supportSubquery="1" supportAdvancedDrill="1" xr:uid="{B634F19A-D1D5-483D-A6F6-E89E910E917D}">
  <cacheSource type="external" connectionId="2"/>
  <cacheFields count="4">
    <cacheField name="[Measures].[Ticket Médio]" caption="Ticket Médio" numFmtId="0" hierarchy="25" level="32767"/>
    <cacheField name="[tb_dados].[Dia_Semana].[Dia_Semana]" caption="Dia_Semana" numFmtId="0" hierarchy="14" level="1">
      <sharedItems containsSemiMixedTypes="0" containsNonDate="0" containsString="0"/>
    </cacheField>
    <cacheField name="[tb_dados].[Categoria].[Categoria]" caption="Categoria" numFmtId="0" hierarchy="4" level="1">
      <sharedItems containsSemiMixedTypes="0" containsNonDate="0" containsString="0"/>
    </cacheField>
    <cacheField name="[tb_dados].[Periodo].[Periodo]" caption="Periodo" numFmtId="0" hierarchy="16" level="1">
      <sharedItems containsSemiMixedTypes="0" containsNonDate="0" containsString="0"/>
    </cacheField>
  </cacheFields>
  <cacheHierarchies count="38">
    <cacheHierarchy uniqueName="[tb_dados].[ID]" caption="ID" attribute="1" defaultMemberUniqueName="[tb_dados].[ID].[All]" allUniqueName="[tb_dados].[ID].[All]" dimensionUniqueName="[tb_dados]" displayFolder="" count="0" memberValueDatatype="20" unbalanced="0"/>
    <cacheHierarchy uniqueName="[tb_dados].[Data]" caption="Data" attribute="1" time="1" defaultMemberUniqueName="[tb_dados].[Data].[All]" allUniqueName="[tb_dados].[Data].[All]" dimensionUniqueName="[tb_dados]" displayFolder="" count="0" memberValueDatatype="7" unbalanced="0"/>
    <cacheHierarchy uniqueName="[tb_dados].[Hora]" caption="Hora" attribute="1" time="1" defaultMemberUniqueName="[tb_dados].[Hora].[All]" allUniqueName="[tb_dados].[Hora].[All]" dimensionUniqueName="[tb_dados]" displayFolder="" count="0" memberValueDatatype="7" unbalanced="0"/>
    <cacheHierarchy uniqueName="[tb_dados].[DataHora]" caption="DataHora" attribute="1" time="1" defaultMemberUniqueName="[tb_dados].[DataHora].[All]" allUniqueName="[tb_dados].[DataHora].[All]" dimensionUniqueName="[tb_dados]" displayFolder="" count="0" memberValueDatatype="7" unbalanced="0"/>
    <cacheHierarchy uniqueName="[tb_dados].[Categoria]" caption="Categoria" attribute="1" defaultMemberUniqueName="[tb_dados].[Categoria].[All]" allUniqueName="[tb_dados].[Categoria].[All]" dimensionUniqueName="[tb_dados]" displayFolder="" count="2" memberValueDatatype="130" unbalanced="0">
      <fieldsUsage count="2">
        <fieldUsage x="-1"/>
        <fieldUsage x="2"/>
      </fieldsUsage>
    </cacheHierarchy>
    <cacheHierarchy uniqueName="[tb_dados].[Subcategoria]" caption="Subcategoria" attribute="1" defaultMemberUniqueName="[tb_dados].[Subcategoria].[All]" allUniqueName="[tb_dados].[Subcategoria].[All]" dimensionUniqueName="[tb_dados]" displayFolder="" count="0" memberValueDatatype="130" unbalanced="0"/>
    <cacheHierarchy uniqueName="[tb_dados].[Item]" caption="Item" attribute="1" defaultMemberUniqueName="[tb_dados].[Item].[All]" allUniqueName="[tb_dados].[Item].[All]" dimensionUniqueName="[tb_dados]" displayFolder="" count="0" memberValueDatatype="130" unbalanced="0"/>
    <cacheHierarchy uniqueName="[tb_dados].[Valor]" caption="Valor" attribute="1" defaultMemberUniqueName="[tb_dados].[Valor].[All]" allUniqueName="[tb_dados].[Valor].[All]" dimensionUniqueName="[tb_dados]" displayFolder="" count="0" memberValueDatatype="5" unbalanced="0"/>
    <cacheHierarchy uniqueName="[tb_dados].[Quantidade]" caption="Quantidade" attribute="1" defaultMemberUniqueName="[tb_dados].[Quantidade].[All]" allUniqueName="[tb_dados].[Quantidade].[All]" dimensionUniqueName="[tb_dados]" displayFolder="" count="0" memberValueDatatype="20" unbalanced="0"/>
    <cacheHierarchy uniqueName="[tb_dados].[Observação]" caption="Observação" attribute="1" defaultMemberUniqueName="[tb_dados].[Observação].[All]" allUniqueName="[tb_dados].[Observação].[All]" dimensionUniqueName="[tb_dados]" displayFolder="" count="0" memberValueDatatype="130" unbalanced="0"/>
    <cacheHierarchy uniqueName="[tb_dados].[Status]" caption="Status" attribute="1" defaultMemberUniqueName="[tb_dados].[Status].[All]" allUniqueName="[tb_dados].[Status].[All]" dimensionUniqueName="[tb_dados]" displayFolder="" count="0" memberValueDatatype="130" unbalanced="0"/>
    <cacheHierarchy uniqueName="[tb_dados].[Ano]" caption="Ano" attribute="1" defaultMemberUniqueName="[tb_dados].[Ano].[All]" allUniqueName="[tb_dados].[Ano].[All]" dimensionUniqueName="[tb_dados]" displayFolder="" count="0" memberValueDatatype="20" unbalanced="0"/>
    <cacheHierarchy uniqueName="[tb_dados].[Mes]" caption="Mes" attribute="1" defaultMemberUniqueName="[tb_dados].[Mes].[All]" allUniqueName="[tb_dados].[Mes].[All]" dimensionUniqueName="[tb_dados]" displayFolder="" count="0" memberValueDatatype="20" unbalanced="0"/>
    <cacheHierarchy uniqueName="[tb_dados].[Mes_Nome]" caption="Mes_Nome" attribute="1" defaultMemberUniqueName="[tb_dados].[Mes_Nome].[All]" allUniqueName="[tb_dados].[Mes_Nome].[All]" dimensionUniqueName="[tb_dados]" displayFolder="" count="0" memberValueDatatype="130" unbalanced="0"/>
    <cacheHierarchy uniqueName="[tb_dados].[Dia_Semana]" caption="Dia_Semana" attribute="1" defaultMemberUniqueName="[tb_dados].[Dia_Semana].[All]" allUniqueName="[tb_dados].[Dia_Semana].[All]" dimensionUniqueName="[tb_dados]" displayFolder="" count="2" memberValueDatatype="130" unbalanced="0">
      <fieldsUsage count="2">
        <fieldUsage x="-1"/>
        <fieldUsage x="1"/>
      </fieldsUsage>
    </cacheHierarchy>
    <cacheHierarchy uniqueName="[tb_dados].[Hora_Num]" caption="Hora_Num" attribute="1" defaultMemberUniqueName="[tb_dados].[Hora_Num].[All]" allUniqueName="[tb_dados].[Hora_Num].[All]" dimensionUniqueName="[tb_dados]" displayFolder="" count="0" memberValueDatatype="20" unbalanced="0"/>
    <cacheHierarchy uniqueName="[tb_dados].[Periodo]" caption="Periodo" attribute="1" defaultMemberUniqueName="[tb_dados].[Periodo].[All]" allUniqueName="[tb_dados].[Periodo].[All]" dimensionUniqueName="[tb_dados]" displayFolder="" count="2" memberValueDatatype="130" unbalanced="0">
      <fieldsUsage count="2">
        <fieldUsage x="-1"/>
        <fieldUsage x="3"/>
      </fieldsUsage>
    </cacheHierarchy>
    <cacheHierarchy uniqueName="[tb_dados].[Data (Mês)]" caption="Data (Mês)" attribute="1" defaultMemberUniqueName="[tb_dados].[Data (Mês)].[All]" allUniqueName="[tb_dados].[Data (Mês)].[All]" dimensionUniqueName="[tb_dados]" displayFolder="" count="0" memberValueDatatype="130" unbalanced="0"/>
    <cacheHierarchy uniqueName="[tb_dados].[Hora (Hora)]" caption="Hora (Hora)" attribute="1" defaultMemberUniqueName="[tb_dados].[Hora (Hora)].[All]" allUniqueName="[tb_dados].[Hora (Hora)].[All]" dimensionUniqueName="[tb_dados]" displayFolder="" count="0" memberValueDatatype="130" unbalanced="0"/>
    <cacheHierarchy uniqueName="[tb_dados].[Hora (Minuto)]" caption="Hora (Minuto)" attribute="1" defaultMemberUniqueName="[tb_dados].[Hora (Minuto)].[All]" allUniqueName="[tb_dados].[Hora (Minuto)].[All]" dimensionUniqueName="[tb_dados]" displayFolder="" count="0" memberValueDatatype="130" unbalanced="0"/>
    <cacheHierarchy uniqueName="[tb_dados].[Data (Índice de Mês)]" caption="Data (Índice de Mês)" attribute="1" defaultMemberUniqueName="[tb_dados].[Data (Índice de Mês)].[All]" allUniqueName="[tb_dados].[Data (Índice de Mês)].[All]" dimensionUniqueName="[tb_dados]" displayFolder="" count="0" memberValueDatatype="20" unbalanced="0" hidden="1"/>
    <cacheHierarchy uniqueName="[Measures].[Receita Total]" caption="Receita Total" measure="1" displayFolder="" measureGroup="tb_dados" count="0"/>
    <cacheHierarchy uniqueName="[Measures].[Qtd Total]" caption="Qtd Total" measure="1" displayFolder="" measureGroup="tb_dados" count="0"/>
    <cacheHierarchy uniqueName="[Measures].[Média Valor]" caption="Média Valor" measure="1" displayFolder="" measureGroup="tb_dados" count="0"/>
    <cacheHierarchy uniqueName="[Measures].[Frequência]" caption="Frequência" measure="1" displayFolder="" measureGroup="tb_dados" count="0"/>
    <cacheHierarchy uniqueName="[Measures].[Ticket Médio]" caption="Ticket Médio" measure="1" displayFolder="" measureGroup="tb_dados" count="0" oneField="1">
      <fieldsUsage count="1">
        <fieldUsage x="0"/>
      </fieldsUsage>
    </cacheHierarchy>
    <cacheHierarchy uniqueName="[Measures].[Receita Dia Anterior]" caption="Receita Dia Anterior" measure="1" displayFolder="" measureGroup="tb_dados" count="0"/>
    <cacheHierarchy uniqueName="[Measures].[Variação]" caption="Variação" measure="1" displayFolder="" measureGroup="tb_dados" count="0"/>
    <cacheHierarchy uniqueName="[Measures].[Classificação]" caption="Classificação" measure="1" displayFolder="" measureGroup="tb_dados" count="0"/>
    <cacheHierarchy uniqueName="[Measures].[Insight]" caption="Insight" measure="1" displayFolder="" measureGroup="tb_dados" count="0"/>
    <cacheHierarchy uniqueName="[Measures].[Cancelamentos]" caption="Cancelamentos" measure="1" displayFolder="" measureGroup="tb_dados" count="0"/>
    <cacheHierarchy uniqueName="[Measures].[Taxa Cancelamento]" caption="Taxa Cancelamento" measure="1" displayFolder="" measureGroup="tb_dados" count="0"/>
    <cacheHierarchy uniqueName="[Measures].[Receita Concluída]" caption="Receita Concluída" measure="1" displayFolder="" measureGroup="tb_dados" count="0"/>
    <cacheHierarchy uniqueName="[Measures].[__XL_Count tb_dados]" caption="__XL_Count tb_dados" measure="1" displayFolder="" measureGroup="tb_dados" count="0" hidden="1"/>
    <cacheHierarchy uniqueName="[Measures].[__No measures defined]" caption="__No measures defined" measure="1" displayFolder="" count="0" hidden="1"/>
    <cacheHierarchy uniqueName="[Measures].[Soma de Hora_Num]" caption="Soma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Categoria]" caption="Contagem de Categoria" measure="1" displayFolder="" measureGroup="tb_dado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ntagem de Hora_Num]" caption="Contagem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b_dados" uniqueName="[tb_dados]" caption="tb_dados"/>
  </dimensions>
  <measureGroups count="1">
    <measureGroup name="tb_dados" caption="tb_d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ggor" refreshedDate="46112.622272916669" backgroundQuery="1" createdVersion="8" refreshedVersion="8" minRefreshableVersion="3" recordCount="0" supportSubquery="1" supportAdvancedDrill="1" xr:uid="{83A502C7-EF16-4359-AF97-B3A36F0362E8}">
  <cacheSource type="external" connectionId="2"/>
  <cacheFields count="4">
    <cacheField name="[Measures].[Frequência]" caption="Frequência" numFmtId="0" hierarchy="24" level="32767"/>
    <cacheField name="[tb_dados].[Dia_Semana].[Dia_Semana]" caption="Dia_Semana" numFmtId="0" hierarchy="14" level="1">
      <sharedItems containsSemiMixedTypes="0" containsNonDate="0" containsString="0"/>
    </cacheField>
    <cacheField name="[tb_dados].[Categoria].[Categoria]" caption="Categoria" numFmtId="0" hierarchy="4" level="1">
      <sharedItems containsSemiMixedTypes="0" containsNonDate="0" containsString="0"/>
    </cacheField>
    <cacheField name="[tb_dados].[Periodo].[Periodo]" caption="Periodo" numFmtId="0" hierarchy="16" level="1">
      <sharedItems containsSemiMixedTypes="0" containsNonDate="0" containsString="0"/>
    </cacheField>
  </cacheFields>
  <cacheHierarchies count="38">
    <cacheHierarchy uniqueName="[tb_dados].[ID]" caption="ID" attribute="1" defaultMemberUniqueName="[tb_dados].[ID].[All]" allUniqueName="[tb_dados].[ID].[All]" dimensionUniqueName="[tb_dados]" displayFolder="" count="0" memberValueDatatype="20" unbalanced="0"/>
    <cacheHierarchy uniqueName="[tb_dados].[Data]" caption="Data" attribute="1" time="1" defaultMemberUniqueName="[tb_dados].[Data].[All]" allUniqueName="[tb_dados].[Data].[All]" dimensionUniqueName="[tb_dados]" displayFolder="" count="0" memberValueDatatype="7" unbalanced="0"/>
    <cacheHierarchy uniqueName="[tb_dados].[Hora]" caption="Hora" attribute="1" time="1" defaultMemberUniqueName="[tb_dados].[Hora].[All]" allUniqueName="[tb_dados].[Hora].[All]" dimensionUniqueName="[tb_dados]" displayFolder="" count="0" memberValueDatatype="7" unbalanced="0"/>
    <cacheHierarchy uniqueName="[tb_dados].[DataHora]" caption="DataHora" attribute="1" time="1" defaultMemberUniqueName="[tb_dados].[DataHora].[All]" allUniqueName="[tb_dados].[DataHora].[All]" dimensionUniqueName="[tb_dados]" displayFolder="" count="0" memberValueDatatype="7" unbalanced="0"/>
    <cacheHierarchy uniqueName="[tb_dados].[Categoria]" caption="Categoria" attribute="1" defaultMemberUniqueName="[tb_dados].[Categoria].[All]" allUniqueName="[tb_dados].[Categoria].[All]" dimensionUniqueName="[tb_dados]" displayFolder="" count="2" memberValueDatatype="130" unbalanced="0">
      <fieldsUsage count="2">
        <fieldUsage x="-1"/>
        <fieldUsage x="2"/>
      </fieldsUsage>
    </cacheHierarchy>
    <cacheHierarchy uniqueName="[tb_dados].[Subcategoria]" caption="Subcategoria" attribute="1" defaultMemberUniqueName="[tb_dados].[Subcategoria].[All]" allUniqueName="[tb_dados].[Subcategoria].[All]" dimensionUniqueName="[tb_dados]" displayFolder="" count="0" memberValueDatatype="130" unbalanced="0"/>
    <cacheHierarchy uniqueName="[tb_dados].[Item]" caption="Item" attribute="1" defaultMemberUniqueName="[tb_dados].[Item].[All]" allUniqueName="[tb_dados].[Item].[All]" dimensionUniqueName="[tb_dados]" displayFolder="" count="0" memberValueDatatype="130" unbalanced="0"/>
    <cacheHierarchy uniqueName="[tb_dados].[Valor]" caption="Valor" attribute="1" defaultMemberUniqueName="[tb_dados].[Valor].[All]" allUniqueName="[tb_dados].[Valor].[All]" dimensionUniqueName="[tb_dados]" displayFolder="" count="0" memberValueDatatype="5" unbalanced="0"/>
    <cacheHierarchy uniqueName="[tb_dados].[Quantidade]" caption="Quantidade" attribute="1" defaultMemberUniqueName="[tb_dados].[Quantidade].[All]" allUniqueName="[tb_dados].[Quantidade].[All]" dimensionUniqueName="[tb_dados]" displayFolder="" count="0" memberValueDatatype="20" unbalanced="0"/>
    <cacheHierarchy uniqueName="[tb_dados].[Observação]" caption="Observação" attribute="1" defaultMemberUniqueName="[tb_dados].[Observação].[All]" allUniqueName="[tb_dados].[Observação].[All]" dimensionUniqueName="[tb_dados]" displayFolder="" count="0" memberValueDatatype="130" unbalanced="0"/>
    <cacheHierarchy uniqueName="[tb_dados].[Status]" caption="Status" attribute="1" defaultMemberUniqueName="[tb_dados].[Status].[All]" allUniqueName="[tb_dados].[Status].[All]" dimensionUniqueName="[tb_dados]" displayFolder="" count="0" memberValueDatatype="130" unbalanced="0"/>
    <cacheHierarchy uniqueName="[tb_dados].[Ano]" caption="Ano" attribute="1" defaultMemberUniqueName="[tb_dados].[Ano].[All]" allUniqueName="[tb_dados].[Ano].[All]" dimensionUniqueName="[tb_dados]" displayFolder="" count="0" memberValueDatatype="20" unbalanced="0"/>
    <cacheHierarchy uniqueName="[tb_dados].[Mes]" caption="Mes" attribute="1" defaultMemberUniqueName="[tb_dados].[Mes].[All]" allUniqueName="[tb_dados].[Mes].[All]" dimensionUniqueName="[tb_dados]" displayFolder="" count="0" memberValueDatatype="20" unbalanced="0"/>
    <cacheHierarchy uniqueName="[tb_dados].[Mes_Nome]" caption="Mes_Nome" attribute="1" defaultMemberUniqueName="[tb_dados].[Mes_Nome].[All]" allUniqueName="[tb_dados].[Mes_Nome].[All]" dimensionUniqueName="[tb_dados]" displayFolder="" count="0" memberValueDatatype="130" unbalanced="0"/>
    <cacheHierarchy uniqueName="[tb_dados].[Dia_Semana]" caption="Dia_Semana" attribute="1" defaultMemberUniqueName="[tb_dados].[Dia_Semana].[All]" allUniqueName="[tb_dados].[Dia_Semana].[All]" dimensionUniqueName="[tb_dados]" displayFolder="" count="2" memberValueDatatype="130" unbalanced="0">
      <fieldsUsage count="2">
        <fieldUsage x="-1"/>
        <fieldUsage x="1"/>
      </fieldsUsage>
    </cacheHierarchy>
    <cacheHierarchy uniqueName="[tb_dados].[Hora_Num]" caption="Hora_Num" attribute="1" defaultMemberUniqueName="[tb_dados].[Hora_Num].[All]" allUniqueName="[tb_dados].[Hora_Num].[All]" dimensionUniqueName="[tb_dados]" displayFolder="" count="0" memberValueDatatype="20" unbalanced="0"/>
    <cacheHierarchy uniqueName="[tb_dados].[Periodo]" caption="Periodo" attribute="1" defaultMemberUniqueName="[tb_dados].[Periodo].[All]" allUniqueName="[tb_dados].[Periodo].[All]" dimensionUniqueName="[tb_dados]" displayFolder="" count="2" memberValueDatatype="130" unbalanced="0">
      <fieldsUsage count="2">
        <fieldUsage x="-1"/>
        <fieldUsage x="3"/>
      </fieldsUsage>
    </cacheHierarchy>
    <cacheHierarchy uniqueName="[tb_dados].[Data (Mês)]" caption="Data (Mês)" attribute="1" defaultMemberUniqueName="[tb_dados].[Data (Mês)].[All]" allUniqueName="[tb_dados].[Data (Mês)].[All]" dimensionUniqueName="[tb_dados]" displayFolder="" count="0" memberValueDatatype="130" unbalanced="0"/>
    <cacheHierarchy uniqueName="[tb_dados].[Hora (Hora)]" caption="Hora (Hora)" attribute="1" defaultMemberUniqueName="[tb_dados].[Hora (Hora)].[All]" allUniqueName="[tb_dados].[Hora (Hora)].[All]" dimensionUniqueName="[tb_dados]" displayFolder="" count="0" memberValueDatatype="130" unbalanced="0"/>
    <cacheHierarchy uniqueName="[tb_dados].[Hora (Minuto)]" caption="Hora (Minuto)" attribute="1" defaultMemberUniqueName="[tb_dados].[Hora (Minuto)].[All]" allUniqueName="[tb_dados].[Hora (Minuto)].[All]" dimensionUniqueName="[tb_dados]" displayFolder="" count="0" memberValueDatatype="130" unbalanced="0"/>
    <cacheHierarchy uniqueName="[tb_dados].[Data (Índice de Mês)]" caption="Data (Índice de Mês)" attribute="1" defaultMemberUniqueName="[tb_dados].[Data (Índice de Mês)].[All]" allUniqueName="[tb_dados].[Data (Índice de Mês)].[All]" dimensionUniqueName="[tb_dados]" displayFolder="" count="0" memberValueDatatype="20" unbalanced="0" hidden="1"/>
    <cacheHierarchy uniqueName="[Measures].[Receita Total]" caption="Receita Total" measure="1" displayFolder="" measureGroup="tb_dados" count="0"/>
    <cacheHierarchy uniqueName="[Measures].[Qtd Total]" caption="Qtd Total" measure="1" displayFolder="" measureGroup="tb_dados" count="0"/>
    <cacheHierarchy uniqueName="[Measures].[Média Valor]" caption="Média Valor" measure="1" displayFolder="" measureGroup="tb_dados" count="0"/>
    <cacheHierarchy uniqueName="[Measures].[Frequência]" caption="Frequência" measure="1" displayFolder="" measureGroup="tb_dados" count="0" oneField="1">
      <fieldsUsage count="1">
        <fieldUsage x="0"/>
      </fieldsUsage>
    </cacheHierarchy>
    <cacheHierarchy uniqueName="[Measures].[Ticket Médio]" caption="Ticket Médio" measure="1" displayFolder="" measureGroup="tb_dados" count="0"/>
    <cacheHierarchy uniqueName="[Measures].[Receita Dia Anterior]" caption="Receita Dia Anterior" measure="1" displayFolder="" measureGroup="tb_dados" count="0"/>
    <cacheHierarchy uniqueName="[Measures].[Variação]" caption="Variação" measure="1" displayFolder="" measureGroup="tb_dados" count="0"/>
    <cacheHierarchy uniqueName="[Measures].[Classificação]" caption="Classificação" measure="1" displayFolder="" measureGroup="tb_dados" count="0"/>
    <cacheHierarchy uniqueName="[Measures].[Insight]" caption="Insight" measure="1" displayFolder="" measureGroup="tb_dados" count="0"/>
    <cacheHierarchy uniqueName="[Measures].[Cancelamentos]" caption="Cancelamentos" measure="1" displayFolder="" measureGroup="tb_dados" count="0"/>
    <cacheHierarchy uniqueName="[Measures].[Taxa Cancelamento]" caption="Taxa Cancelamento" measure="1" displayFolder="" measureGroup="tb_dados" count="0"/>
    <cacheHierarchy uniqueName="[Measures].[Receita Concluída]" caption="Receita Concluída" measure="1" displayFolder="" measureGroup="tb_dados" count="0"/>
    <cacheHierarchy uniqueName="[Measures].[__XL_Count tb_dados]" caption="__XL_Count tb_dados" measure="1" displayFolder="" measureGroup="tb_dados" count="0" hidden="1"/>
    <cacheHierarchy uniqueName="[Measures].[__No measures defined]" caption="__No measures defined" measure="1" displayFolder="" count="0" hidden="1"/>
    <cacheHierarchy uniqueName="[Measures].[Soma de Hora_Num]" caption="Soma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Categoria]" caption="Contagem de Categoria" measure="1" displayFolder="" measureGroup="tb_dado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ntagem de Hora_Num]" caption="Contagem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b_dados" uniqueName="[tb_dados]" caption="tb_dados"/>
  </dimensions>
  <measureGroups count="1">
    <measureGroup name="tb_dados" caption="tb_d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ggor" refreshedDate="46112.622274305555" backgroundQuery="1" createdVersion="8" refreshedVersion="8" minRefreshableVersion="3" recordCount="0" supportSubquery="1" supportAdvancedDrill="1" xr:uid="{3EE7DD91-9347-4C9A-AE7E-9534F1FAA35E}">
  <cacheSource type="external" connectionId="2"/>
  <cacheFields count="6">
    <cacheField name="[Measures].[Receita Total]" caption="Receita Total" numFmtId="0" hierarchy="21" level="32767"/>
    <cacheField name="[tb_dados].[Data].[Data]" caption="Data" numFmtId="0" hierarchy="1" level="1">
      <sharedItems containsSemiMixedTypes="0" containsNonDate="0" containsDate="1" containsString="0" minDate="2026-02-25T00:00:00" maxDate="2026-03-28T00:00:00" count="31"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</sharedItems>
      <extLst>
        <ext xmlns:x15="http://schemas.microsoft.com/office/spreadsheetml/2010/11/main" uri="{4F2E5C28-24EA-4eb8-9CBF-B6C8F9C3D259}">
          <x15:cachedUniqueNames>
            <x15:cachedUniqueName index="0" name="[tb_dados].[Data].&amp;[2026-02-25T00:00:00]"/>
            <x15:cachedUniqueName index="1" name="[tb_dados].[Data].&amp;[2026-02-26T00:00:00]"/>
            <x15:cachedUniqueName index="2" name="[tb_dados].[Data].&amp;[2026-02-27T00:00:00]"/>
            <x15:cachedUniqueName index="3" name="[tb_dados].[Data].&amp;[2026-02-28T00:00:00]"/>
            <x15:cachedUniqueName index="4" name="[tb_dados].[Data].&amp;[2026-03-01T00:00:00]"/>
            <x15:cachedUniqueName index="5" name="[tb_dados].[Data].&amp;[2026-03-02T00:00:00]"/>
            <x15:cachedUniqueName index="6" name="[tb_dados].[Data].&amp;[2026-03-03T00:00:00]"/>
            <x15:cachedUniqueName index="7" name="[tb_dados].[Data].&amp;[2026-03-04T00:00:00]"/>
            <x15:cachedUniqueName index="8" name="[tb_dados].[Data].&amp;[2026-03-05T00:00:00]"/>
            <x15:cachedUniqueName index="9" name="[tb_dados].[Data].&amp;[2026-03-06T00:00:00]"/>
            <x15:cachedUniqueName index="10" name="[tb_dados].[Data].&amp;[2026-03-07T00:00:00]"/>
            <x15:cachedUniqueName index="11" name="[tb_dados].[Data].&amp;[2026-03-08T00:00:00]"/>
            <x15:cachedUniqueName index="12" name="[tb_dados].[Data].&amp;[2026-03-09T00:00:00]"/>
            <x15:cachedUniqueName index="13" name="[tb_dados].[Data].&amp;[2026-03-10T00:00:00]"/>
            <x15:cachedUniqueName index="14" name="[tb_dados].[Data].&amp;[2026-03-11T00:00:00]"/>
            <x15:cachedUniqueName index="15" name="[tb_dados].[Data].&amp;[2026-03-12T00:00:00]"/>
            <x15:cachedUniqueName index="16" name="[tb_dados].[Data].&amp;[2026-03-13T00:00:00]"/>
            <x15:cachedUniqueName index="17" name="[tb_dados].[Data].&amp;[2026-03-14T00:00:00]"/>
            <x15:cachedUniqueName index="18" name="[tb_dados].[Data].&amp;[2026-03-15T00:00:00]"/>
            <x15:cachedUniqueName index="19" name="[tb_dados].[Data].&amp;[2026-03-16T00:00:00]"/>
            <x15:cachedUniqueName index="20" name="[tb_dados].[Data].&amp;[2026-03-17T00:00:00]"/>
            <x15:cachedUniqueName index="21" name="[tb_dados].[Data].&amp;[2026-03-18T00:00:00]"/>
            <x15:cachedUniqueName index="22" name="[tb_dados].[Data].&amp;[2026-03-19T00:00:00]"/>
            <x15:cachedUniqueName index="23" name="[tb_dados].[Data].&amp;[2026-03-20T00:00:00]"/>
            <x15:cachedUniqueName index="24" name="[tb_dados].[Data].&amp;[2026-03-21T00:00:00]"/>
            <x15:cachedUniqueName index="25" name="[tb_dados].[Data].&amp;[2026-03-22T00:00:00]"/>
            <x15:cachedUniqueName index="26" name="[tb_dados].[Data].&amp;[2026-03-23T00:00:00]"/>
            <x15:cachedUniqueName index="27" name="[tb_dados].[Data].&amp;[2026-03-24T00:00:00]"/>
            <x15:cachedUniqueName index="28" name="[tb_dados].[Data].&amp;[2026-03-25T00:00:00]"/>
            <x15:cachedUniqueName index="29" name="[tb_dados].[Data].&amp;[2026-03-26T00:00:00]"/>
            <x15:cachedUniqueName index="30" name="[tb_dados].[Data].&amp;[2026-03-27T00:00:00]"/>
          </x15:cachedUniqueNames>
        </ext>
      </extLst>
    </cacheField>
    <cacheField name="[tb_dados].[Data (Mês)].[Data (Mês)]" caption="Data (Mês)" numFmtId="0" hierarchy="17" level="1">
      <sharedItems count="2">
        <s v="fev"/>
        <s v="mar"/>
      </sharedItems>
      <extLst>
        <ext xmlns:x15="http://schemas.microsoft.com/office/spreadsheetml/2010/11/main" uri="{4F2E5C28-24EA-4eb8-9CBF-B6C8F9C3D259}">
          <x15:cachedUniqueNames>
            <x15:cachedUniqueName index="0" name="[tb_dados].[Data (Mês)].&amp;[fev]"/>
            <x15:cachedUniqueName index="1" name="[tb_dados].[Data (Mês)].&amp;[mar]"/>
          </x15:cachedUniqueNames>
        </ext>
      </extLst>
    </cacheField>
    <cacheField name="[tb_dados].[Dia_Semana].[Dia_Semana]" caption="Dia_Semana" numFmtId="0" hierarchy="14" level="1">
      <sharedItems containsSemiMixedTypes="0" containsNonDate="0" containsString="0"/>
    </cacheField>
    <cacheField name="[tb_dados].[Categoria].[Categoria]" caption="Categoria" numFmtId="0" hierarchy="4" level="1">
      <sharedItems containsSemiMixedTypes="0" containsNonDate="0" containsString="0"/>
    </cacheField>
    <cacheField name="[tb_dados].[Periodo].[Periodo]" caption="Periodo" numFmtId="0" hierarchy="16" level="1">
      <sharedItems containsSemiMixedTypes="0" containsNonDate="0" containsString="0"/>
    </cacheField>
  </cacheFields>
  <cacheHierarchies count="38">
    <cacheHierarchy uniqueName="[tb_dados].[ID]" caption="ID" attribute="1" defaultMemberUniqueName="[tb_dados].[ID].[All]" allUniqueName="[tb_dados].[ID].[All]" dimensionUniqueName="[tb_dados]" displayFolder="" count="0" memberValueDatatype="20" unbalanced="0"/>
    <cacheHierarchy uniqueName="[tb_dados].[Data]" caption="Data" attribute="1" time="1" defaultMemberUniqueName="[tb_dados].[Data].[All]" allUniqueName="[tb_dados].[Data].[All]" dimensionUniqueName="[tb_dados]" displayFolder="" count="2" memberValueDatatype="7" unbalanced="0">
      <fieldsUsage count="2">
        <fieldUsage x="-1"/>
        <fieldUsage x="1"/>
      </fieldsUsage>
    </cacheHierarchy>
    <cacheHierarchy uniqueName="[tb_dados].[Hora]" caption="Hora" attribute="1" time="1" defaultMemberUniqueName="[tb_dados].[Hora].[All]" allUniqueName="[tb_dados].[Hora].[All]" dimensionUniqueName="[tb_dados]" displayFolder="" count="0" memberValueDatatype="7" unbalanced="0"/>
    <cacheHierarchy uniqueName="[tb_dados].[DataHora]" caption="DataHora" attribute="1" time="1" defaultMemberUniqueName="[tb_dados].[DataHora].[All]" allUniqueName="[tb_dados].[DataHora].[All]" dimensionUniqueName="[tb_dados]" displayFolder="" count="0" memberValueDatatype="7" unbalanced="0"/>
    <cacheHierarchy uniqueName="[tb_dados].[Categoria]" caption="Categoria" attribute="1" defaultMemberUniqueName="[tb_dados].[Categoria].[All]" allUniqueName="[tb_dados].[Categoria].[All]" dimensionUniqueName="[tb_dados]" displayFolder="" count="2" memberValueDatatype="130" unbalanced="0">
      <fieldsUsage count="2">
        <fieldUsage x="-1"/>
        <fieldUsage x="4"/>
      </fieldsUsage>
    </cacheHierarchy>
    <cacheHierarchy uniqueName="[tb_dados].[Subcategoria]" caption="Subcategoria" attribute="1" defaultMemberUniqueName="[tb_dados].[Subcategoria].[All]" allUniqueName="[tb_dados].[Subcategoria].[All]" dimensionUniqueName="[tb_dados]" displayFolder="" count="0" memberValueDatatype="130" unbalanced="0"/>
    <cacheHierarchy uniqueName="[tb_dados].[Item]" caption="Item" attribute="1" defaultMemberUniqueName="[tb_dados].[Item].[All]" allUniqueName="[tb_dados].[Item].[All]" dimensionUniqueName="[tb_dados]" displayFolder="" count="0" memberValueDatatype="130" unbalanced="0"/>
    <cacheHierarchy uniqueName="[tb_dados].[Valor]" caption="Valor" attribute="1" defaultMemberUniqueName="[tb_dados].[Valor].[All]" allUniqueName="[tb_dados].[Valor].[All]" dimensionUniqueName="[tb_dados]" displayFolder="" count="0" memberValueDatatype="5" unbalanced="0"/>
    <cacheHierarchy uniqueName="[tb_dados].[Quantidade]" caption="Quantidade" attribute="1" defaultMemberUniqueName="[tb_dados].[Quantidade].[All]" allUniqueName="[tb_dados].[Quantidade].[All]" dimensionUniqueName="[tb_dados]" displayFolder="" count="0" memberValueDatatype="20" unbalanced="0"/>
    <cacheHierarchy uniqueName="[tb_dados].[Observação]" caption="Observação" attribute="1" defaultMemberUniqueName="[tb_dados].[Observação].[All]" allUniqueName="[tb_dados].[Observação].[All]" dimensionUniqueName="[tb_dados]" displayFolder="" count="0" memberValueDatatype="130" unbalanced="0"/>
    <cacheHierarchy uniqueName="[tb_dados].[Status]" caption="Status" attribute="1" defaultMemberUniqueName="[tb_dados].[Status].[All]" allUniqueName="[tb_dados].[Status].[All]" dimensionUniqueName="[tb_dados]" displayFolder="" count="0" memberValueDatatype="130" unbalanced="0"/>
    <cacheHierarchy uniqueName="[tb_dados].[Ano]" caption="Ano" attribute="1" defaultMemberUniqueName="[tb_dados].[Ano].[All]" allUniqueName="[tb_dados].[Ano].[All]" dimensionUniqueName="[tb_dados]" displayFolder="" count="0" memberValueDatatype="20" unbalanced="0"/>
    <cacheHierarchy uniqueName="[tb_dados].[Mes]" caption="Mes" attribute="1" defaultMemberUniqueName="[tb_dados].[Mes].[All]" allUniqueName="[tb_dados].[Mes].[All]" dimensionUniqueName="[tb_dados]" displayFolder="" count="0" memberValueDatatype="20" unbalanced="0"/>
    <cacheHierarchy uniqueName="[tb_dados].[Mes_Nome]" caption="Mes_Nome" attribute="1" defaultMemberUniqueName="[tb_dados].[Mes_Nome].[All]" allUniqueName="[tb_dados].[Mes_Nome].[All]" dimensionUniqueName="[tb_dados]" displayFolder="" count="0" memberValueDatatype="130" unbalanced="0"/>
    <cacheHierarchy uniqueName="[tb_dados].[Dia_Semana]" caption="Dia_Semana" attribute="1" defaultMemberUniqueName="[tb_dados].[Dia_Semana].[All]" allUniqueName="[tb_dados].[Dia_Semana].[All]" dimensionUniqueName="[tb_dados]" displayFolder="" count="2" memberValueDatatype="130" unbalanced="0">
      <fieldsUsage count="2">
        <fieldUsage x="-1"/>
        <fieldUsage x="3"/>
      </fieldsUsage>
    </cacheHierarchy>
    <cacheHierarchy uniqueName="[tb_dados].[Hora_Num]" caption="Hora_Num" attribute="1" defaultMemberUniqueName="[tb_dados].[Hora_Num].[All]" allUniqueName="[tb_dados].[Hora_Num].[All]" dimensionUniqueName="[tb_dados]" displayFolder="" count="0" memberValueDatatype="20" unbalanced="0"/>
    <cacheHierarchy uniqueName="[tb_dados].[Periodo]" caption="Periodo" attribute="1" defaultMemberUniqueName="[tb_dados].[Periodo].[All]" allUniqueName="[tb_dados].[Periodo].[All]" dimensionUniqueName="[tb_dados]" displayFolder="" count="2" memberValueDatatype="130" unbalanced="0">
      <fieldsUsage count="2">
        <fieldUsage x="-1"/>
        <fieldUsage x="5"/>
      </fieldsUsage>
    </cacheHierarchy>
    <cacheHierarchy uniqueName="[tb_dados].[Data (Mês)]" caption="Data (Mês)" attribute="1" defaultMemberUniqueName="[tb_dados].[Data (Mês)].[All]" allUniqueName="[tb_dados].[Data (Mês)].[All]" dimensionUniqueName="[tb_dados]" displayFolder="" count="2" memberValueDatatype="130" unbalanced="0">
      <fieldsUsage count="2">
        <fieldUsage x="-1"/>
        <fieldUsage x="2"/>
      </fieldsUsage>
    </cacheHierarchy>
    <cacheHierarchy uniqueName="[tb_dados].[Hora (Hora)]" caption="Hora (Hora)" attribute="1" defaultMemberUniqueName="[tb_dados].[Hora (Hora)].[All]" allUniqueName="[tb_dados].[Hora (Hora)].[All]" dimensionUniqueName="[tb_dados]" displayFolder="" count="0" memberValueDatatype="130" unbalanced="0"/>
    <cacheHierarchy uniqueName="[tb_dados].[Hora (Minuto)]" caption="Hora (Minuto)" attribute="1" defaultMemberUniqueName="[tb_dados].[Hora (Minuto)].[All]" allUniqueName="[tb_dados].[Hora (Minuto)].[All]" dimensionUniqueName="[tb_dados]" displayFolder="" count="0" memberValueDatatype="130" unbalanced="0"/>
    <cacheHierarchy uniqueName="[tb_dados].[Data (Índice de Mês)]" caption="Data (Índice de Mês)" attribute="1" defaultMemberUniqueName="[tb_dados].[Data (Índice de Mês)].[All]" allUniqueName="[tb_dados].[Data (Índice de Mês)].[All]" dimensionUniqueName="[tb_dados]" displayFolder="" count="0" memberValueDatatype="20" unbalanced="0" hidden="1"/>
    <cacheHierarchy uniqueName="[Measures].[Receita Total]" caption="Receita Total" measure="1" displayFolder="" measureGroup="tb_dados" count="0" oneField="1">
      <fieldsUsage count="1">
        <fieldUsage x="0"/>
      </fieldsUsage>
    </cacheHierarchy>
    <cacheHierarchy uniqueName="[Measures].[Qtd Total]" caption="Qtd Total" measure="1" displayFolder="" measureGroup="tb_dados" count="0"/>
    <cacheHierarchy uniqueName="[Measures].[Média Valor]" caption="Média Valor" measure="1" displayFolder="" measureGroup="tb_dados" count="0"/>
    <cacheHierarchy uniqueName="[Measures].[Frequência]" caption="Frequência" measure="1" displayFolder="" measureGroup="tb_dados" count="0"/>
    <cacheHierarchy uniqueName="[Measures].[Ticket Médio]" caption="Ticket Médio" measure="1" displayFolder="" measureGroup="tb_dados" count="0"/>
    <cacheHierarchy uniqueName="[Measures].[Receita Dia Anterior]" caption="Receita Dia Anterior" measure="1" displayFolder="" measureGroup="tb_dados" count="0"/>
    <cacheHierarchy uniqueName="[Measures].[Variação]" caption="Variação" measure="1" displayFolder="" measureGroup="tb_dados" count="0"/>
    <cacheHierarchy uniqueName="[Measures].[Classificação]" caption="Classificação" measure="1" displayFolder="" measureGroup="tb_dados" count="0"/>
    <cacheHierarchy uniqueName="[Measures].[Insight]" caption="Insight" measure="1" displayFolder="" measureGroup="tb_dados" count="0"/>
    <cacheHierarchy uniqueName="[Measures].[Cancelamentos]" caption="Cancelamentos" measure="1" displayFolder="" measureGroup="tb_dados" count="0"/>
    <cacheHierarchy uniqueName="[Measures].[Taxa Cancelamento]" caption="Taxa Cancelamento" measure="1" displayFolder="" measureGroup="tb_dados" count="0"/>
    <cacheHierarchy uniqueName="[Measures].[Receita Concluída]" caption="Receita Concluída" measure="1" displayFolder="" measureGroup="tb_dados" count="0"/>
    <cacheHierarchy uniqueName="[Measures].[__XL_Count tb_dados]" caption="__XL_Count tb_dados" measure="1" displayFolder="" measureGroup="tb_dados" count="0" hidden="1"/>
    <cacheHierarchy uniqueName="[Measures].[__No measures defined]" caption="__No measures defined" measure="1" displayFolder="" count="0" hidden="1"/>
    <cacheHierarchy uniqueName="[Measures].[Soma de Hora_Num]" caption="Soma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Categoria]" caption="Contagem de Categoria" measure="1" displayFolder="" measureGroup="tb_dado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ntagem de Hora_Num]" caption="Contagem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b_dados" uniqueName="[tb_dados]" caption="tb_dados"/>
  </dimensions>
  <measureGroups count="1">
    <measureGroup name="tb_dados" caption="tb_d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ggor" refreshedDate="46112.622276504633" backgroundQuery="1" createdVersion="8" refreshedVersion="8" minRefreshableVersion="3" recordCount="0" supportSubquery="1" supportAdvancedDrill="1" xr:uid="{6E82FA94-65BA-4182-A722-0A2E6AAA5C7E}">
  <cacheSource type="external" connectionId="2"/>
  <cacheFields count="4">
    <cacheField name="[Measures].[Receita Total]" caption="Receita Total" numFmtId="0" hierarchy="21" level="32767"/>
    <cacheField name="[tb_dados].[Categoria].[Categoria]" caption="Categoria" numFmtId="0" hierarchy="4" level="1">
      <sharedItems count="3">
        <s v="Acessórios"/>
        <s v="Eletrônicos"/>
        <s v="Móveis"/>
      </sharedItems>
      <extLst>
        <ext xmlns:x15="http://schemas.microsoft.com/office/spreadsheetml/2010/11/main" uri="{4F2E5C28-24EA-4eb8-9CBF-B6C8F9C3D259}">
          <x15:cachedUniqueNames>
            <x15:cachedUniqueName index="0" name="[tb_dados].[Categoria].&amp;[Acessórios]"/>
            <x15:cachedUniqueName index="1" name="[tb_dados].[Categoria].&amp;[Eletrônicos]"/>
            <x15:cachedUniqueName index="2" name="[tb_dados].[Categoria].&amp;[Móveis]"/>
          </x15:cachedUniqueNames>
        </ext>
      </extLst>
    </cacheField>
    <cacheField name="[tb_dados].[Dia_Semana].[Dia_Semana]" caption="Dia_Semana" numFmtId="0" hierarchy="14" level="1">
      <sharedItems containsSemiMixedTypes="0" containsNonDate="0" containsString="0"/>
    </cacheField>
    <cacheField name="[tb_dados].[Periodo].[Periodo]" caption="Periodo" numFmtId="0" hierarchy="16" level="1">
      <sharedItems containsSemiMixedTypes="0" containsNonDate="0" containsString="0"/>
    </cacheField>
  </cacheFields>
  <cacheHierarchies count="38">
    <cacheHierarchy uniqueName="[tb_dados].[ID]" caption="ID" attribute="1" defaultMemberUniqueName="[tb_dados].[ID].[All]" allUniqueName="[tb_dados].[ID].[All]" dimensionUniqueName="[tb_dados]" displayFolder="" count="0" memberValueDatatype="20" unbalanced="0"/>
    <cacheHierarchy uniqueName="[tb_dados].[Data]" caption="Data" attribute="1" time="1" defaultMemberUniqueName="[tb_dados].[Data].[All]" allUniqueName="[tb_dados].[Data].[All]" dimensionUniqueName="[tb_dados]" displayFolder="" count="0" memberValueDatatype="7" unbalanced="0"/>
    <cacheHierarchy uniqueName="[tb_dados].[Hora]" caption="Hora" attribute="1" time="1" defaultMemberUniqueName="[tb_dados].[Hora].[All]" allUniqueName="[tb_dados].[Hora].[All]" dimensionUniqueName="[tb_dados]" displayFolder="" count="0" memberValueDatatype="7" unbalanced="0"/>
    <cacheHierarchy uniqueName="[tb_dados].[DataHora]" caption="DataHora" attribute="1" time="1" defaultMemberUniqueName="[tb_dados].[DataHora].[All]" allUniqueName="[tb_dados].[DataHora].[All]" dimensionUniqueName="[tb_dados]" displayFolder="" count="0" memberValueDatatype="7" unbalanced="0"/>
    <cacheHierarchy uniqueName="[tb_dados].[Categoria]" caption="Categoria" attribute="1" defaultMemberUniqueName="[tb_dados].[Categoria].[All]" allUniqueName="[tb_dados].[Categoria].[All]" dimensionUniqueName="[tb_dados]" displayFolder="" count="2" memberValueDatatype="130" unbalanced="0">
      <fieldsUsage count="2">
        <fieldUsage x="-1"/>
        <fieldUsage x="1"/>
      </fieldsUsage>
    </cacheHierarchy>
    <cacheHierarchy uniqueName="[tb_dados].[Subcategoria]" caption="Subcategoria" attribute="1" defaultMemberUniqueName="[tb_dados].[Subcategoria].[All]" allUniqueName="[tb_dados].[Subcategoria].[All]" dimensionUniqueName="[tb_dados]" displayFolder="" count="0" memberValueDatatype="130" unbalanced="0"/>
    <cacheHierarchy uniqueName="[tb_dados].[Item]" caption="Item" attribute="1" defaultMemberUniqueName="[tb_dados].[Item].[All]" allUniqueName="[tb_dados].[Item].[All]" dimensionUniqueName="[tb_dados]" displayFolder="" count="0" memberValueDatatype="130" unbalanced="0"/>
    <cacheHierarchy uniqueName="[tb_dados].[Valor]" caption="Valor" attribute="1" defaultMemberUniqueName="[tb_dados].[Valor].[All]" allUniqueName="[tb_dados].[Valor].[All]" dimensionUniqueName="[tb_dados]" displayFolder="" count="0" memberValueDatatype="5" unbalanced="0"/>
    <cacheHierarchy uniqueName="[tb_dados].[Quantidade]" caption="Quantidade" attribute="1" defaultMemberUniqueName="[tb_dados].[Quantidade].[All]" allUniqueName="[tb_dados].[Quantidade].[All]" dimensionUniqueName="[tb_dados]" displayFolder="" count="0" memberValueDatatype="20" unbalanced="0"/>
    <cacheHierarchy uniqueName="[tb_dados].[Observação]" caption="Observação" attribute="1" defaultMemberUniqueName="[tb_dados].[Observação].[All]" allUniqueName="[tb_dados].[Observação].[All]" dimensionUniqueName="[tb_dados]" displayFolder="" count="0" memberValueDatatype="130" unbalanced="0"/>
    <cacheHierarchy uniqueName="[tb_dados].[Status]" caption="Status" attribute="1" defaultMemberUniqueName="[tb_dados].[Status].[All]" allUniqueName="[tb_dados].[Status].[All]" dimensionUniqueName="[tb_dados]" displayFolder="" count="0" memberValueDatatype="130" unbalanced="0"/>
    <cacheHierarchy uniqueName="[tb_dados].[Ano]" caption="Ano" attribute="1" defaultMemberUniqueName="[tb_dados].[Ano].[All]" allUniqueName="[tb_dados].[Ano].[All]" dimensionUniqueName="[tb_dados]" displayFolder="" count="0" memberValueDatatype="20" unbalanced="0"/>
    <cacheHierarchy uniqueName="[tb_dados].[Mes]" caption="Mes" attribute="1" defaultMemberUniqueName="[tb_dados].[Mes].[All]" allUniqueName="[tb_dados].[Mes].[All]" dimensionUniqueName="[tb_dados]" displayFolder="" count="0" memberValueDatatype="20" unbalanced="0"/>
    <cacheHierarchy uniqueName="[tb_dados].[Mes_Nome]" caption="Mes_Nome" attribute="1" defaultMemberUniqueName="[tb_dados].[Mes_Nome].[All]" allUniqueName="[tb_dados].[Mes_Nome].[All]" dimensionUniqueName="[tb_dados]" displayFolder="" count="0" memberValueDatatype="130" unbalanced="0"/>
    <cacheHierarchy uniqueName="[tb_dados].[Dia_Semana]" caption="Dia_Semana" attribute="1" defaultMemberUniqueName="[tb_dados].[Dia_Semana].[All]" allUniqueName="[tb_dados].[Dia_Semana].[All]" dimensionUniqueName="[tb_dados]" displayFolder="" count="2" memberValueDatatype="130" unbalanced="0">
      <fieldsUsage count="2">
        <fieldUsage x="-1"/>
        <fieldUsage x="2"/>
      </fieldsUsage>
    </cacheHierarchy>
    <cacheHierarchy uniqueName="[tb_dados].[Hora_Num]" caption="Hora_Num" attribute="1" defaultMemberUniqueName="[tb_dados].[Hora_Num].[All]" allUniqueName="[tb_dados].[Hora_Num].[All]" dimensionUniqueName="[tb_dados]" displayFolder="" count="0" memberValueDatatype="20" unbalanced="0"/>
    <cacheHierarchy uniqueName="[tb_dados].[Periodo]" caption="Periodo" attribute="1" defaultMemberUniqueName="[tb_dados].[Periodo].[All]" allUniqueName="[tb_dados].[Periodo].[All]" dimensionUniqueName="[tb_dados]" displayFolder="" count="2" memberValueDatatype="130" unbalanced="0">
      <fieldsUsage count="2">
        <fieldUsage x="-1"/>
        <fieldUsage x="3"/>
      </fieldsUsage>
    </cacheHierarchy>
    <cacheHierarchy uniqueName="[tb_dados].[Data (Mês)]" caption="Data (Mês)" attribute="1" defaultMemberUniqueName="[tb_dados].[Data (Mês)].[All]" allUniqueName="[tb_dados].[Data (Mês)].[All]" dimensionUniqueName="[tb_dados]" displayFolder="" count="0" memberValueDatatype="130" unbalanced="0"/>
    <cacheHierarchy uniqueName="[tb_dados].[Hora (Hora)]" caption="Hora (Hora)" attribute="1" defaultMemberUniqueName="[tb_dados].[Hora (Hora)].[All]" allUniqueName="[tb_dados].[Hora (Hora)].[All]" dimensionUniqueName="[tb_dados]" displayFolder="" count="0" memberValueDatatype="130" unbalanced="0"/>
    <cacheHierarchy uniqueName="[tb_dados].[Hora (Minuto)]" caption="Hora (Minuto)" attribute="1" defaultMemberUniqueName="[tb_dados].[Hora (Minuto)].[All]" allUniqueName="[tb_dados].[Hora (Minuto)].[All]" dimensionUniqueName="[tb_dados]" displayFolder="" count="0" memberValueDatatype="130" unbalanced="0"/>
    <cacheHierarchy uniqueName="[tb_dados].[Data (Índice de Mês)]" caption="Data (Índice de Mês)" attribute="1" defaultMemberUniqueName="[tb_dados].[Data (Índice de Mês)].[All]" allUniqueName="[tb_dados].[Data (Índice de Mês)].[All]" dimensionUniqueName="[tb_dados]" displayFolder="" count="0" memberValueDatatype="20" unbalanced="0" hidden="1"/>
    <cacheHierarchy uniqueName="[Measures].[Receita Total]" caption="Receita Total" measure="1" displayFolder="" measureGroup="tb_dados" count="0" oneField="1">
      <fieldsUsage count="1">
        <fieldUsage x="0"/>
      </fieldsUsage>
    </cacheHierarchy>
    <cacheHierarchy uniqueName="[Measures].[Qtd Total]" caption="Qtd Total" measure="1" displayFolder="" measureGroup="tb_dados" count="0"/>
    <cacheHierarchy uniqueName="[Measures].[Média Valor]" caption="Média Valor" measure="1" displayFolder="" measureGroup="tb_dados" count="0"/>
    <cacheHierarchy uniqueName="[Measures].[Frequência]" caption="Frequência" measure="1" displayFolder="" measureGroup="tb_dados" count="0"/>
    <cacheHierarchy uniqueName="[Measures].[Ticket Médio]" caption="Ticket Médio" measure="1" displayFolder="" measureGroup="tb_dados" count="0"/>
    <cacheHierarchy uniqueName="[Measures].[Receita Dia Anterior]" caption="Receita Dia Anterior" measure="1" displayFolder="" measureGroup="tb_dados" count="0"/>
    <cacheHierarchy uniqueName="[Measures].[Variação]" caption="Variação" measure="1" displayFolder="" measureGroup="tb_dados" count="0"/>
    <cacheHierarchy uniqueName="[Measures].[Classificação]" caption="Classificação" measure="1" displayFolder="" measureGroup="tb_dados" count="0"/>
    <cacheHierarchy uniqueName="[Measures].[Insight]" caption="Insight" measure="1" displayFolder="" measureGroup="tb_dados" count="0"/>
    <cacheHierarchy uniqueName="[Measures].[Cancelamentos]" caption="Cancelamentos" measure="1" displayFolder="" measureGroup="tb_dados" count="0"/>
    <cacheHierarchy uniqueName="[Measures].[Taxa Cancelamento]" caption="Taxa Cancelamento" measure="1" displayFolder="" measureGroup="tb_dados" count="0"/>
    <cacheHierarchy uniqueName="[Measures].[Receita Concluída]" caption="Receita Concluída" measure="1" displayFolder="" measureGroup="tb_dados" count="0"/>
    <cacheHierarchy uniqueName="[Measures].[__XL_Count tb_dados]" caption="__XL_Count tb_dados" measure="1" displayFolder="" measureGroup="tb_dados" count="0" hidden="1"/>
    <cacheHierarchy uniqueName="[Measures].[__No measures defined]" caption="__No measures defined" measure="1" displayFolder="" count="0" hidden="1"/>
    <cacheHierarchy uniqueName="[Measures].[Soma de Hora_Num]" caption="Soma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Categoria]" caption="Contagem de Categoria" measure="1" displayFolder="" measureGroup="tb_dado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ntagem de Hora_Num]" caption="Contagem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b_dados" uniqueName="[tb_dados]" caption="tb_dados"/>
  </dimensions>
  <measureGroups count="1">
    <measureGroup name="tb_dados" caption="tb_d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ggor" refreshedDate="46112.622279745374" backgroundQuery="1" createdVersion="8" refreshedVersion="8" minRefreshableVersion="3" recordCount="0" supportSubquery="1" supportAdvancedDrill="1" xr:uid="{209BB476-A403-45B9-9954-8FBB7897FA3E}">
  <cacheSource type="external" connectionId="2"/>
  <cacheFields count="5">
    <cacheField name="[tb_dados].[Hora_Num].[Hora_Num]" caption="Hora_Num" numFmtId="0" hierarchy="15" level="1">
      <sharedItems containsSemiMixedTypes="0" containsString="0" containsNumber="1" containsInteger="1" minValue="8" maxValue="22" count="15"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  <extLst>
        <ext xmlns:x15="http://schemas.microsoft.com/office/spreadsheetml/2010/11/main" uri="{4F2E5C28-24EA-4eb8-9CBF-B6C8F9C3D259}">
          <x15:cachedUniqueNames>
            <x15:cachedUniqueName index="0" name="[tb_dados].[Hora_Num].&amp;[8]"/>
            <x15:cachedUniqueName index="1" name="[tb_dados].[Hora_Num].&amp;[9]"/>
            <x15:cachedUniqueName index="2" name="[tb_dados].[Hora_Num].&amp;[10]"/>
            <x15:cachedUniqueName index="3" name="[tb_dados].[Hora_Num].&amp;[11]"/>
            <x15:cachedUniqueName index="4" name="[tb_dados].[Hora_Num].&amp;[12]"/>
            <x15:cachedUniqueName index="5" name="[tb_dados].[Hora_Num].&amp;[13]"/>
            <x15:cachedUniqueName index="6" name="[tb_dados].[Hora_Num].&amp;[14]"/>
            <x15:cachedUniqueName index="7" name="[tb_dados].[Hora_Num].&amp;[15]"/>
            <x15:cachedUniqueName index="8" name="[tb_dados].[Hora_Num].&amp;[16]"/>
            <x15:cachedUniqueName index="9" name="[tb_dados].[Hora_Num].&amp;[17]"/>
            <x15:cachedUniqueName index="10" name="[tb_dados].[Hora_Num].&amp;[18]"/>
            <x15:cachedUniqueName index="11" name="[tb_dados].[Hora_Num].&amp;[19]"/>
            <x15:cachedUniqueName index="12" name="[tb_dados].[Hora_Num].&amp;[20]"/>
            <x15:cachedUniqueName index="13" name="[tb_dados].[Hora_Num].&amp;[21]"/>
            <x15:cachedUniqueName index="14" name="[tb_dados].[Hora_Num].&amp;[22]"/>
          </x15:cachedUniqueNames>
        </ext>
      </extLst>
    </cacheField>
    <cacheField name="[Measures].[Receita Total]" caption="Receita Total" numFmtId="0" hierarchy="21" level="32767"/>
    <cacheField name="[tb_dados].[Dia_Semana].[Dia_Semana]" caption="Dia_Semana" numFmtId="0" hierarchy="14" level="1">
      <sharedItems containsSemiMixedTypes="0" containsNonDate="0" containsString="0"/>
    </cacheField>
    <cacheField name="[tb_dados].[Categoria].[Categoria]" caption="Categoria" numFmtId="0" hierarchy="4" level="1">
      <sharedItems containsSemiMixedTypes="0" containsNonDate="0" containsString="0"/>
    </cacheField>
    <cacheField name="[tb_dados].[Periodo].[Periodo]" caption="Periodo" numFmtId="0" hierarchy="16" level="1">
      <sharedItems containsSemiMixedTypes="0" containsNonDate="0" containsString="0"/>
    </cacheField>
  </cacheFields>
  <cacheHierarchies count="38">
    <cacheHierarchy uniqueName="[tb_dados].[ID]" caption="ID" attribute="1" defaultMemberUniqueName="[tb_dados].[ID].[All]" allUniqueName="[tb_dados].[ID].[All]" dimensionUniqueName="[tb_dados]" displayFolder="" count="0" memberValueDatatype="20" unbalanced="0"/>
    <cacheHierarchy uniqueName="[tb_dados].[Data]" caption="Data" attribute="1" time="1" defaultMemberUniqueName="[tb_dados].[Data].[All]" allUniqueName="[tb_dados].[Data].[All]" dimensionUniqueName="[tb_dados]" displayFolder="" count="0" memberValueDatatype="7" unbalanced="0"/>
    <cacheHierarchy uniqueName="[tb_dados].[Hora]" caption="Hora" attribute="1" time="1" defaultMemberUniqueName="[tb_dados].[Hora].[All]" allUniqueName="[tb_dados].[Hora].[All]" dimensionUniqueName="[tb_dados]" displayFolder="" count="0" memberValueDatatype="7" unbalanced="0"/>
    <cacheHierarchy uniqueName="[tb_dados].[DataHora]" caption="DataHora" attribute="1" time="1" defaultMemberUniqueName="[tb_dados].[DataHora].[All]" allUniqueName="[tb_dados].[DataHora].[All]" dimensionUniqueName="[tb_dados]" displayFolder="" count="0" memberValueDatatype="7" unbalanced="0"/>
    <cacheHierarchy uniqueName="[tb_dados].[Categoria]" caption="Categoria" attribute="1" defaultMemberUniqueName="[tb_dados].[Categoria].[All]" allUniqueName="[tb_dados].[Categoria].[All]" dimensionUniqueName="[tb_dados]" displayFolder="" count="2" memberValueDatatype="130" unbalanced="0">
      <fieldsUsage count="2">
        <fieldUsage x="-1"/>
        <fieldUsage x="3"/>
      </fieldsUsage>
    </cacheHierarchy>
    <cacheHierarchy uniqueName="[tb_dados].[Subcategoria]" caption="Subcategoria" attribute="1" defaultMemberUniqueName="[tb_dados].[Subcategoria].[All]" allUniqueName="[tb_dados].[Subcategoria].[All]" dimensionUniqueName="[tb_dados]" displayFolder="" count="0" memberValueDatatype="130" unbalanced="0"/>
    <cacheHierarchy uniqueName="[tb_dados].[Item]" caption="Item" attribute="1" defaultMemberUniqueName="[tb_dados].[Item].[All]" allUniqueName="[tb_dados].[Item].[All]" dimensionUniqueName="[tb_dados]" displayFolder="" count="0" memberValueDatatype="130" unbalanced="0"/>
    <cacheHierarchy uniqueName="[tb_dados].[Valor]" caption="Valor" attribute="1" defaultMemberUniqueName="[tb_dados].[Valor].[All]" allUniqueName="[tb_dados].[Valor].[All]" dimensionUniqueName="[tb_dados]" displayFolder="" count="0" memberValueDatatype="5" unbalanced="0"/>
    <cacheHierarchy uniqueName="[tb_dados].[Quantidade]" caption="Quantidade" attribute="1" defaultMemberUniqueName="[tb_dados].[Quantidade].[All]" allUniqueName="[tb_dados].[Quantidade].[All]" dimensionUniqueName="[tb_dados]" displayFolder="" count="0" memberValueDatatype="20" unbalanced="0"/>
    <cacheHierarchy uniqueName="[tb_dados].[Observação]" caption="Observação" attribute="1" defaultMemberUniqueName="[tb_dados].[Observação].[All]" allUniqueName="[tb_dados].[Observação].[All]" dimensionUniqueName="[tb_dados]" displayFolder="" count="0" memberValueDatatype="130" unbalanced="0"/>
    <cacheHierarchy uniqueName="[tb_dados].[Status]" caption="Status" attribute="1" defaultMemberUniqueName="[tb_dados].[Status].[All]" allUniqueName="[tb_dados].[Status].[All]" dimensionUniqueName="[tb_dados]" displayFolder="" count="0" memberValueDatatype="130" unbalanced="0"/>
    <cacheHierarchy uniqueName="[tb_dados].[Ano]" caption="Ano" attribute="1" defaultMemberUniqueName="[tb_dados].[Ano].[All]" allUniqueName="[tb_dados].[Ano].[All]" dimensionUniqueName="[tb_dados]" displayFolder="" count="0" memberValueDatatype="20" unbalanced="0"/>
    <cacheHierarchy uniqueName="[tb_dados].[Mes]" caption="Mes" attribute="1" defaultMemberUniqueName="[tb_dados].[Mes].[All]" allUniqueName="[tb_dados].[Mes].[All]" dimensionUniqueName="[tb_dados]" displayFolder="" count="0" memberValueDatatype="20" unbalanced="0"/>
    <cacheHierarchy uniqueName="[tb_dados].[Mes_Nome]" caption="Mes_Nome" attribute="1" defaultMemberUniqueName="[tb_dados].[Mes_Nome].[All]" allUniqueName="[tb_dados].[Mes_Nome].[All]" dimensionUniqueName="[tb_dados]" displayFolder="" count="0" memberValueDatatype="130" unbalanced="0"/>
    <cacheHierarchy uniqueName="[tb_dados].[Dia_Semana]" caption="Dia_Semana" attribute="1" defaultMemberUniqueName="[tb_dados].[Dia_Semana].[All]" allUniqueName="[tb_dados].[Dia_Semana].[All]" dimensionUniqueName="[tb_dados]" displayFolder="" count="2" memberValueDatatype="130" unbalanced="0">
      <fieldsUsage count="2">
        <fieldUsage x="-1"/>
        <fieldUsage x="2"/>
      </fieldsUsage>
    </cacheHierarchy>
    <cacheHierarchy uniqueName="[tb_dados].[Hora_Num]" caption="Hora_Num" attribute="1" defaultMemberUniqueName="[tb_dados].[Hora_Num].[All]" allUniqueName="[tb_dados].[Hora_Num].[All]" dimensionUniqueName="[tb_dados]" displayFolder="" count="2" memberValueDatatype="20" unbalanced="0">
      <fieldsUsage count="2">
        <fieldUsage x="-1"/>
        <fieldUsage x="0"/>
      </fieldsUsage>
    </cacheHierarchy>
    <cacheHierarchy uniqueName="[tb_dados].[Periodo]" caption="Periodo" attribute="1" defaultMemberUniqueName="[tb_dados].[Periodo].[All]" allUniqueName="[tb_dados].[Periodo].[All]" dimensionUniqueName="[tb_dados]" displayFolder="" count="2" memberValueDatatype="130" unbalanced="0">
      <fieldsUsage count="2">
        <fieldUsage x="-1"/>
        <fieldUsage x="4"/>
      </fieldsUsage>
    </cacheHierarchy>
    <cacheHierarchy uniqueName="[tb_dados].[Data (Mês)]" caption="Data (Mês)" attribute="1" defaultMemberUniqueName="[tb_dados].[Data (Mês)].[All]" allUniqueName="[tb_dados].[Data (Mês)].[All]" dimensionUniqueName="[tb_dados]" displayFolder="" count="0" memberValueDatatype="130" unbalanced="0"/>
    <cacheHierarchy uniqueName="[tb_dados].[Hora (Hora)]" caption="Hora (Hora)" attribute="1" defaultMemberUniqueName="[tb_dados].[Hora (Hora)].[All]" allUniqueName="[tb_dados].[Hora (Hora)].[All]" dimensionUniqueName="[tb_dados]" displayFolder="" count="0" memberValueDatatype="130" unbalanced="0"/>
    <cacheHierarchy uniqueName="[tb_dados].[Hora (Minuto)]" caption="Hora (Minuto)" attribute="1" defaultMemberUniqueName="[tb_dados].[Hora (Minuto)].[All]" allUniqueName="[tb_dados].[Hora (Minuto)].[All]" dimensionUniqueName="[tb_dados]" displayFolder="" count="0" memberValueDatatype="130" unbalanced="0"/>
    <cacheHierarchy uniqueName="[tb_dados].[Data (Índice de Mês)]" caption="Data (Índice de Mês)" attribute="1" defaultMemberUniqueName="[tb_dados].[Data (Índice de Mês)].[All]" allUniqueName="[tb_dados].[Data (Índice de Mês)].[All]" dimensionUniqueName="[tb_dados]" displayFolder="" count="0" memberValueDatatype="20" unbalanced="0" hidden="1"/>
    <cacheHierarchy uniqueName="[Measures].[Receita Total]" caption="Receita Total" measure="1" displayFolder="" measureGroup="tb_dados" count="0" oneField="1">
      <fieldsUsage count="1">
        <fieldUsage x="1"/>
      </fieldsUsage>
    </cacheHierarchy>
    <cacheHierarchy uniqueName="[Measures].[Qtd Total]" caption="Qtd Total" measure="1" displayFolder="" measureGroup="tb_dados" count="0"/>
    <cacheHierarchy uniqueName="[Measures].[Média Valor]" caption="Média Valor" measure="1" displayFolder="" measureGroup="tb_dados" count="0"/>
    <cacheHierarchy uniqueName="[Measures].[Frequência]" caption="Frequência" measure="1" displayFolder="" measureGroup="tb_dados" count="0"/>
    <cacheHierarchy uniqueName="[Measures].[Ticket Médio]" caption="Ticket Médio" measure="1" displayFolder="" measureGroup="tb_dados" count="0"/>
    <cacheHierarchy uniqueName="[Measures].[Receita Dia Anterior]" caption="Receita Dia Anterior" measure="1" displayFolder="" measureGroup="tb_dados" count="0"/>
    <cacheHierarchy uniqueName="[Measures].[Variação]" caption="Variação" measure="1" displayFolder="" measureGroup="tb_dados" count="0"/>
    <cacheHierarchy uniqueName="[Measures].[Classificação]" caption="Classificação" measure="1" displayFolder="" measureGroup="tb_dados" count="0"/>
    <cacheHierarchy uniqueName="[Measures].[Insight]" caption="Insight" measure="1" displayFolder="" measureGroup="tb_dados" count="0"/>
    <cacheHierarchy uniqueName="[Measures].[Cancelamentos]" caption="Cancelamentos" measure="1" displayFolder="" measureGroup="tb_dados" count="0"/>
    <cacheHierarchy uniqueName="[Measures].[Taxa Cancelamento]" caption="Taxa Cancelamento" measure="1" displayFolder="" measureGroup="tb_dados" count="0"/>
    <cacheHierarchy uniqueName="[Measures].[Receita Concluída]" caption="Receita Concluída" measure="1" displayFolder="" measureGroup="tb_dados" count="0"/>
    <cacheHierarchy uniqueName="[Measures].[__XL_Count tb_dados]" caption="__XL_Count tb_dados" measure="1" displayFolder="" measureGroup="tb_dados" count="0" hidden="1"/>
    <cacheHierarchy uniqueName="[Measures].[__No measures defined]" caption="__No measures defined" measure="1" displayFolder="" count="0" hidden="1"/>
    <cacheHierarchy uniqueName="[Measures].[Soma de Hora_Num]" caption="Soma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Categoria]" caption="Contagem de Categoria" measure="1" displayFolder="" measureGroup="tb_dado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ntagem de Hora_Num]" caption="Contagem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tb_dados" uniqueName="[tb_dados]" caption="tb_dados"/>
  </dimensions>
  <measureGroups count="1">
    <measureGroup name="tb_dados" caption="tb_d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ggor" refreshedDate="46112.622261342593" backgroundQuery="1" createdVersion="3" refreshedVersion="8" minRefreshableVersion="3" recordCount="0" supportSubquery="1" supportAdvancedDrill="1" xr:uid="{AE7C3247-2614-4F03-BE15-C58AEE35BEEB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tb_dados].[ID]" caption="ID" attribute="1" defaultMemberUniqueName="[tb_dados].[ID].[All]" allUniqueName="[tb_dados].[ID].[All]" dimensionUniqueName="[tb_dados]" displayFolder="" count="0" memberValueDatatype="20" unbalanced="0"/>
    <cacheHierarchy uniqueName="[tb_dados].[Data]" caption="Data" attribute="1" time="1" defaultMemberUniqueName="[tb_dados].[Data].[All]" allUniqueName="[tb_dados].[Data].[All]" dimensionUniqueName="[tb_dados]" displayFolder="" count="0" memberValueDatatype="7" unbalanced="0"/>
    <cacheHierarchy uniqueName="[tb_dados].[Hora]" caption="Hora" attribute="1" time="1" defaultMemberUniqueName="[tb_dados].[Hora].[All]" allUniqueName="[tb_dados].[Hora].[All]" dimensionUniqueName="[tb_dados]" displayFolder="" count="0" memberValueDatatype="7" unbalanced="0"/>
    <cacheHierarchy uniqueName="[tb_dados].[DataHora]" caption="DataHora" attribute="1" time="1" defaultMemberUniqueName="[tb_dados].[DataHora].[All]" allUniqueName="[tb_dados].[DataHora].[All]" dimensionUniqueName="[tb_dados]" displayFolder="" count="0" memberValueDatatype="7" unbalanced="0"/>
    <cacheHierarchy uniqueName="[tb_dados].[Categoria]" caption="Categoria" attribute="1" defaultMemberUniqueName="[tb_dados].[Categoria].[All]" allUniqueName="[tb_dados].[Categoria].[All]" dimensionUniqueName="[tb_dados]" displayFolder="" count="2" memberValueDatatype="130" unbalanced="0"/>
    <cacheHierarchy uniqueName="[tb_dados].[Subcategoria]" caption="Subcategoria" attribute="1" defaultMemberUniqueName="[tb_dados].[Subcategoria].[All]" allUniqueName="[tb_dados].[Subcategoria].[All]" dimensionUniqueName="[tb_dados]" displayFolder="" count="0" memberValueDatatype="130" unbalanced="0"/>
    <cacheHierarchy uniqueName="[tb_dados].[Item]" caption="Item" attribute="1" defaultMemberUniqueName="[tb_dados].[Item].[All]" allUniqueName="[tb_dados].[Item].[All]" dimensionUniqueName="[tb_dados]" displayFolder="" count="0" memberValueDatatype="130" unbalanced="0"/>
    <cacheHierarchy uniqueName="[tb_dados].[Valor]" caption="Valor" attribute="1" defaultMemberUniqueName="[tb_dados].[Valor].[All]" allUniqueName="[tb_dados].[Valor].[All]" dimensionUniqueName="[tb_dados]" displayFolder="" count="0" memberValueDatatype="5" unbalanced="0"/>
    <cacheHierarchy uniqueName="[tb_dados].[Quantidade]" caption="Quantidade" attribute="1" defaultMemberUniqueName="[tb_dados].[Quantidade].[All]" allUniqueName="[tb_dados].[Quantidade].[All]" dimensionUniqueName="[tb_dados]" displayFolder="" count="0" memberValueDatatype="20" unbalanced="0"/>
    <cacheHierarchy uniqueName="[tb_dados].[Observação]" caption="Observação" attribute="1" defaultMemberUniqueName="[tb_dados].[Observação].[All]" allUniqueName="[tb_dados].[Observação].[All]" dimensionUniqueName="[tb_dados]" displayFolder="" count="0" memberValueDatatype="130" unbalanced="0"/>
    <cacheHierarchy uniqueName="[tb_dados].[Status]" caption="Status" attribute="1" defaultMemberUniqueName="[tb_dados].[Status].[All]" allUniqueName="[tb_dados].[Status].[All]" dimensionUniqueName="[tb_dados]" displayFolder="" count="0" memberValueDatatype="130" unbalanced="0"/>
    <cacheHierarchy uniqueName="[tb_dados].[Ano]" caption="Ano" attribute="1" defaultMemberUniqueName="[tb_dados].[Ano].[All]" allUniqueName="[tb_dados].[Ano].[All]" dimensionUniqueName="[tb_dados]" displayFolder="" count="0" memberValueDatatype="20" unbalanced="0"/>
    <cacheHierarchy uniqueName="[tb_dados].[Mes]" caption="Mes" attribute="1" defaultMemberUniqueName="[tb_dados].[Mes].[All]" allUniqueName="[tb_dados].[Mes].[All]" dimensionUniqueName="[tb_dados]" displayFolder="" count="0" memberValueDatatype="20" unbalanced="0"/>
    <cacheHierarchy uniqueName="[tb_dados].[Mes_Nome]" caption="Mes_Nome" attribute="1" defaultMemberUniqueName="[tb_dados].[Mes_Nome].[All]" allUniqueName="[tb_dados].[Mes_Nome].[All]" dimensionUniqueName="[tb_dados]" displayFolder="" count="0" memberValueDatatype="130" unbalanced="0"/>
    <cacheHierarchy uniqueName="[tb_dados].[Dia_Semana]" caption="Dia_Semana" attribute="1" defaultMemberUniqueName="[tb_dados].[Dia_Semana].[All]" allUniqueName="[tb_dados].[Dia_Semana].[All]" dimensionUniqueName="[tb_dados]" displayFolder="" count="2" memberValueDatatype="130" unbalanced="0"/>
    <cacheHierarchy uniqueName="[tb_dados].[Hora_Num]" caption="Hora_Num" attribute="1" defaultMemberUniqueName="[tb_dados].[Hora_Num].[All]" allUniqueName="[tb_dados].[Hora_Num].[All]" dimensionUniqueName="[tb_dados]" displayFolder="" count="0" memberValueDatatype="20" unbalanced="0"/>
    <cacheHierarchy uniqueName="[tb_dados].[Periodo]" caption="Periodo" attribute="1" defaultMemberUniqueName="[tb_dados].[Periodo].[All]" allUniqueName="[tb_dados].[Periodo].[All]" dimensionUniqueName="[tb_dados]" displayFolder="" count="2" memberValueDatatype="130" unbalanced="0"/>
    <cacheHierarchy uniqueName="[tb_dados].[Data (Mês)]" caption="Data (Mês)" attribute="1" defaultMemberUniqueName="[tb_dados].[Data (Mês)].[All]" allUniqueName="[tb_dados].[Data (Mês)].[All]" dimensionUniqueName="[tb_dados]" displayFolder="" count="0" memberValueDatatype="130" unbalanced="0"/>
    <cacheHierarchy uniqueName="[tb_dados].[Hora (Hora)]" caption="Hora (Hora)" attribute="1" defaultMemberUniqueName="[tb_dados].[Hora (Hora)].[All]" allUniqueName="[tb_dados].[Hora (Hora)].[All]" dimensionUniqueName="[tb_dados]" displayFolder="" count="0" memberValueDatatype="130" unbalanced="0"/>
    <cacheHierarchy uniqueName="[tb_dados].[Hora (Minuto)]" caption="Hora (Minuto)" attribute="1" defaultMemberUniqueName="[tb_dados].[Hora (Minuto)].[All]" allUniqueName="[tb_dados].[Hora (Minuto)].[All]" dimensionUniqueName="[tb_dados]" displayFolder="" count="0" memberValueDatatype="130" unbalanced="0"/>
    <cacheHierarchy uniqueName="[tb_dados].[Data (Índice de Mês)]" caption="Data (Índice de Mês)" attribute="1" defaultMemberUniqueName="[tb_dados].[Data (Índice de Mês)].[All]" allUniqueName="[tb_dados].[Data (Índice de Mês)].[All]" dimensionUniqueName="[tb_dados]" displayFolder="" count="0" memberValueDatatype="20" unbalanced="0" hidden="1"/>
    <cacheHierarchy uniqueName="[Measures].[Receita Total]" caption="Receita Total" measure="1" displayFolder="" measureGroup="tb_dados" count="0"/>
    <cacheHierarchy uniqueName="[Measures].[Qtd Total]" caption="Qtd Total" measure="1" displayFolder="" measureGroup="tb_dados" count="0"/>
    <cacheHierarchy uniqueName="[Measures].[Média Valor]" caption="Média Valor" measure="1" displayFolder="" measureGroup="tb_dados" count="0"/>
    <cacheHierarchy uniqueName="[Measures].[Frequência]" caption="Frequência" measure="1" displayFolder="" measureGroup="tb_dados" count="0"/>
    <cacheHierarchy uniqueName="[Measures].[Ticket Médio]" caption="Ticket Médio" measure="1" displayFolder="" measureGroup="tb_dados" count="0"/>
    <cacheHierarchy uniqueName="[Measures].[Receita Dia Anterior]" caption="Receita Dia Anterior" measure="1" displayFolder="" measureGroup="tb_dados" count="0"/>
    <cacheHierarchy uniqueName="[Measures].[Variação]" caption="Variação" measure="1" displayFolder="" measureGroup="tb_dados" count="0"/>
    <cacheHierarchy uniqueName="[Measures].[Classificação]" caption="Classificação" measure="1" displayFolder="" measureGroup="tb_dados" count="0"/>
    <cacheHierarchy uniqueName="[Measures].[Insight]" caption="Insight" measure="1" displayFolder="" measureGroup="tb_dados" count="0"/>
    <cacheHierarchy uniqueName="[Measures].[Cancelamentos]" caption="Cancelamentos" measure="1" displayFolder="" measureGroup="tb_dados" count="0"/>
    <cacheHierarchy uniqueName="[Measures].[Taxa Cancelamento]" caption="Taxa Cancelamento" measure="1" displayFolder="" measureGroup="tb_dados" count="0"/>
    <cacheHierarchy uniqueName="[Measures].[Receita Concluída]" caption="Receita Concluída" measure="1" displayFolder="" measureGroup="tb_dados" count="0"/>
    <cacheHierarchy uniqueName="[Measures].[__XL_Count tb_dados]" caption="__XL_Count tb_dados" measure="1" displayFolder="" measureGroup="tb_dados" count="0" hidden="1"/>
    <cacheHierarchy uniqueName="[Measures].[__No measures defined]" caption="__No measures defined" measure="1" displayFolder="" count="0" hidden="1"/>
    <cacheHierarchy uniqueName="[Measures].[Soma de Hora_Num]" caption="Soma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Categoria]" caption="Contagem de Categoria" measure="1" displayFolder="" measureGroup="tb_dado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ntagem de Hora_Num]" caption="Contagem de Hora_Num" measure="1" displayFolder="" measureGroup="tb_dad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35987120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CA0F1-A4AA-41C3-9C5B-A3DD6F12CFD5}" name="Tabela dinâmica7" cacheId="12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L1:M17" firstHeaderRow="1" firstDataRow="1" firstDataCol="1"/>
  <pivotFields count="5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fld="1" subtotal="count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d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F466C-09FB-45A8-8291-B28BD3E730C3}" name="Tabela dinâmica6" cacheId="12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I1:J5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d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FBABA-84EE-4042-B4AC-880C01A8A8A4}" name="Tabela dinâmica5" cacheId="12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F1:G35" firstHeaderRow="1" firstDataRow="1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2"/>
    <field x="1"/>
  </rowFields>
  <rowItems count="34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t="grand">
      <x/>
    </i>
  </rowItems>
  <colItems count="1">
    <i/>
  </colItems>
  <dataFields count="1">
    <dataField fld="0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d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CC8CA-BC58-49BA-AADF-A03201105F66}" name="Tabela dinâmica4" cacheId="12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:D2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d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0708E-A722-4F8F-93C7-3D735AF8B01E}" name="Tabela dinâmica3" cacheId="12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:C2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d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1927D-4F78-424F-AFCF-0BE90EE6E425}" name="Tabela dinâmica2" cacheId="12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:B2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d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44D9B-F381-442E-930E-652A9C72AB36}" name="Tabela dinâmica1" cacheId="128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A2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3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d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855E1624-22C5-4CC3-AC09-E79B5010B7AD}" sourceName="[tb_dados].[Categoria]">
  <pivotTables>
    <pivotTable tabId="5" name="Tabela dinâmica1"/>
    <pivotTable tabId="5" name="Tabela dinâmica2"/>
    <pivotTable tabId="5" name="Tabela dinâmica3"/>
    <pivotTable tabId="5" name="Tabela dinâmica4"/>
    <pivotTable tabId="5" name="Tabela dinâmica5"/>
    <pivotTable tabId="5" name="Tabela dinâmica6"/>
    <pivotTable tabId="5" name="Tabela dinâmica7"/>
  </pivotTables>
  <data>
    <olap pivotCacheId="359871206">
      <levels count="2">
        <level uniqueName="[tb_dados].[Categoria].[(All)]" sourceCaption="(All)" count="0"/>
        <level uniqueName="[tb_dados].[Categoria].[Categoria]" sourceCaption="Categoria" count="3">
          <ranges>
            <range startItem="0">
              <i n="[tb_dados].[Categoria].&amp;[Acessórios]" c="Acessórios"/>
              <i n="[tb_dados].[Categoria].&amp;[Eletrônicos]" c="Eletrônicos"/>
              <i n="[tb_dados].[Categoria].&amp;[Móveis]" c="Móveis"/>
            </range>
          </ranges>
        </level>
      </levels>
      <selections count="1">
        <selection n="[tb_dados].[Categoria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iodo" xr10:uid="{2995B872-1417-446D-B5AE-11F7F3813AC0}" sourceName="[tb_dados].[Periodo]">
  <pivotTables>
    <pivotTable tabId="5" name="Tabela dinâmica1"/>
    <pivotTable tabId="5" name="Tabela dinâmica2"/>
    <pivotTable tabId="5" name="Tabela dinâmica3"/>
    <pivotTable tabId="5" name="Tabela dinâmica4"/>
    <pivotTable tabId="5" name="Tabela dinâmica5"/>
    <pivotTable tabId="5" name="Tabela dinâmica6"/>
    <pivotTable tabId="5" name="Tabela dinâmica7"/>
  </pivotTables>
  <data>
    <olap pivotCacheId="359871206">
      <levels count="2">
        <level uniqueName="[tb_dados].[Periodo].[(All)]" sourceCaption="(All)" count="0"/>
        <level uniqueName="[tb_dados].[Periodo].[Periodo]" sourceCaption="Periodo" count="3">
          <ranges>
            <range startItem="0">
              <i n="[tb_dados].[Periodo].&amp;[Manhã]" c="Manhã"/>
              <i n="[tb_dados].[Periodo].&amp;[Noite]" c="Noite"/>
              <i n="[tb_dados].[Periodo].&amp;[Tarde]" c="Tarde"/>
            </range>
          </ranges>
        </level>
      </levels>
      <selections count="1">
        <selection n="[tb_dados].[Period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_Semana" xr10:uid="{E4A74008-888F-40C3-98ED-27C65266D37D}" sourceName="[tb_dados].[Dia_Semana]">
  <pivotTables>
    <pivotTable tabId="5" name="Tabela dinâmica1"/>
    <pivotTable tabId="5" name="Tabela dinâmica2"/>
    <pivotTable tabId="5" name="Tabela dinâmica3"/>
    <pivotTable tabId="5" name="Tabela dinâmica4"/>
    <pivotTable tabId="5" name="Tabela dinâmica5"/>
    <pivotTable tabId="5" name="Tabela dinâmica6"/>
    <pivotTable tabId="5" name="Tabela dinâmica7"/>
  </pivotTables>
  <data>
    <olap pivotCacheId="359871206">
      <levels count="2">
        <level uniqueName="[tb_dados].[Dia_Semana].[(All)]" sourceCaption="(All)" count="0"/>
        <level uniqueName="[tb_dados].[Dia_Semana].[Dia_Semana]" sourceCaption="Dia_Semana" count="7">
          <ranges>
            <range startItem="0">
              <i n="[tb_dados].[Dia_Semana].&amp;[domingo]" c="domingo"/>
              <i n="[tb_dados].[Dia_Semana].&amp;[quarta-feira]" c="quarta-feira"/>
              <i n="[tb_dados].[Dia_Semana].&amp;[quinta-feira]" c="quinta-feira"/>
              <i n="[tb_dados].[Dia_Semana].&amp;[sábado]" c="sábado"/>
              <i n="[tb_dados].[Dia_Semana].&amp;[segunda-feira]" c="segunda-feira"/>
              <i n="[tb_dados].[Dia_Semana].&amp;[sexta-feira]" c="sexta-feira"/>
              <i n="[tb_dados].[Dia_Semana].&amp;[terça-feira]" c="terça-feira"/>
            </range>
          </ranges>
        </level>
      </levels>
      <selections count="1">
        <selection n="[tb_dados].[Dia_Seman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98A2EBAE-674E-4332-B8D8-AD826A3BE36C}" cache="SegmentaçãodeDados_Categoria" caption="Categoria" level="1" rowHeight="540000"/>
  <slicer name="Periodo" xr10:uid="{82F6F8E0-40AD-4512-B61A-363F379D314B}" cache="SegmentaçãodeDados_Periodo" caption="Periodo" level="1" rowHeight="540000"/>
  <slicer name="Dia_Semana" xr10:uid="{159DB6F7-55AE-42D6-85DE-669FC303A577}" cache="SegmentaçãodeDados_Dia_Semana" caption="Dia_Semana" level="1" rowHeight="54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51193A-D2B2-47C8-AF90-2A1A990A3260}" name="tb_dados" displayName="tb_dados" ref="A1:K1001" totalsRowShown="0">
  <autoFilter ref="A1:K1001" xr:uid="{E251193A-D2B2-47C8-AF90-2A1A990A3260}"/>
  <tableColumns count="11">
    <tableColumn id="1" xr3:uid="{EE2F9038-E069-4E11-9485-C5CF24EEDA70}" name="ID"/>
    <tableColumn id="2" xr3:uid="{0B532AC3-B861-47B4-A391-7672B7324E8C}" name="Data" dataDxfId="4"/>
    <tableColumn id="3" xr3:uid="{905401DC-7829-4CBC-B65F-115966C66455}" name="Hora" dataDxfId="3"/>
    <tableColumn id="4" xr3:uid="{B513B7CF-D118-4FD9-9A33-B2049466E31C}" name="DataHora" dataDxfId="2">
      <calculatedColumnFormula>tb_dados[[#This Row],[Data]]+tb_dados[[#This Row],[Hora]]</calculatedColumnFormula>
    </tableColumn>
    <tableColumn id="5" xr3:uid="{8727421B-8BD4-4A4C-8DA3-1D2F584FDA58}" name="Categoria"/>
    <tableColumn id="6" xr3:uid="{E8D8C1D5-C82F-4757-942B-F7760927C7C6}" name="Subcategoria"/>
    <tableColumn id="7" xr3:uid="{170AABB7-52C7-404A-A769-7088DEB209E1}" name="Item"/>
    <tableColumn id="8" xr3:uid="{A412BACE-0ABE-425E-960B-05B339CCFF40}" name="Valor" dataDxfId="1"/>
    <tableColumn id="9" xr3:uid="{D9D0A88F-B921-4C4D-89FC-86E4A8004A10}" name="Quantidade" dataDxfId="0"/>
    <tableColumn id="10" xr3:uid="{CAE058A2-1AAC-4BF5-98BB-AC0F2EC4A1D3}" name="Observação"/>
    <tableColumn id="12" xr3:uid="{C5DFBA6C-1DAA-4E38-8FE7-1626C101A71F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661E-7593-421A-8E3A-1EC2987147AE}">
  <dimension ref="A1:K1001"/>
  <sheetViews>
    <sheetView workbookViewId="0">
      <selection activeCell="P11" sqref="P11"/>
    </sheetView>
  </sheetViews>
  <sheetFormatPr defaultRowHeight="14.4" x14ac:dyDescent="0.3"/>
  <cols>
    <col min="1" max="1" width="5" bestFit="1" customWidth="1"/>
    <col min="2" max="2" width="10.33203125" style="1" bestFit="1" customWidth="1"/>
    <col min="3" max="3" width="7.21875" style="3" bestFit="1" customWidth="1"/>
    <col min="4" max="4" width="15.33203125" bestFit="1" customWidth="1"/>
    <col min="5" max="5" width="11.21875" bestFit="1" customWidth="1"/>
    <col min="6" max="6" width="14.21875" bestFit="1" customWidth="1"/>
    <col min="7" max="7" width="16" bestFit="1" customWidth="1"/>
    <col min="8" max="8" width="10.5546875" style="4" bestFit="1" customWidth="1"/>
    <col min="9" max="9" width="13" style="5" bestFit="1" customWidth="1"/>
    <col min="10" max="10" width="13.109375" bestFit="1" customWidth="1"/>
    <col min="11" max="11" width="10" bestFit="1" customWidth="1"/>
  </cols>
  <sheetData>
    <row r="1" spans="1:11" x14ac:dyDescent="0.3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s="5" t="s">
        <v>8</v>
      </c>
      <c r="J1" t="s">
        <v>9</v>
      </c>
      <c r="K1" t="s">
        <v>34</v>
      </c>
    </row>
    <row r="2" spans="1:11" x14ac:dyDescent="0.3">
      <c r="A2">
        <v>1000</v>
      </c>
      <c r="B2" s="1">
        <v>46079</v>
      </c>
      <c r="C2" s="3">
        <v>0.34166666666666662</v>
      </c>
      <c r="D2" s="2">
        <f>tb_dados[[#This Row],[Data]]+tb_dados[[#This Row],[Hora]]</f>
        <v>46079.341666666667</v>
      </c>
      <c r="E2" t="s">
        <v>10</v>
      </c>
      <c r="F2" t="s">
        <v>13</v>
      </c>
      <c r="G2" t="s">
        <v>17</v>
      </c>
      <c r="H2" s="4">
        <v>900</v>
      </c>
      <c r="I2" s="5">
        <v>3</v>
      </c>
      <c r="K2" t="s">
        <v>25</v>
      </c>
    </row>
    <row r="3" spans="1:11" x14ac:dyDescent="0.3">
      <c r="A3">
        <v>1001</v>
      </c>
      <c r="B3" s="1">
        <v>46097</v>
      </c>
      <c r="C3" s="3">
        <v>0.55069444444444449</v>
      </c>
      <c r="D3" s="2">
        <f>tb_dados[[#This Row],[Data]]+tb_dados[[#This Row],[Hora]]</f>
        <v>46097.550694444442</v>
      </c>
      <c r="E3" t="s">
        <v>11</v>
      </c>
      <c r="F3" t="s">
        <v>14</v>
      </c>
      <c r="G3" t="s">
        <v>18</v>
      </c>
      <c r="H3" s="4">
        <v>120</v>
      </c>
      <c r="I3" s="5">
        <v>3</v>
      </c>
      <c r="K3" t="s">
        <v>26</v>
      </c>
    </row>
    <row r="4" spans="1:11" x14ac:dyDescent="0.3">
      <c r="A4">
        <v>1002</v>
      </c>
      <c r="B4" s="1">
        <v>46103</v>
      </c>
      <c r="C4" s="3">
        <v>0.39652777777777781</v>
      </c>
      <c r="D4" s="2">
        <f>tb_dados[[#This Row],[Data]]+tb_dados[[#This Row],[Hora]]</f>
        <v>46103.396527777775</v>
      </c>
      <c r="E4" t="s">
        <v>12</v>
      </c>
      <c r="F4" t="s">
        <v>14</v>
      </c>
      <c r="G4" t="s">
        <v>19</v>
      </c>
      <c r="H4" s="4">
        <v>850</v>
      </c>
      <c r="I4" s="5">
        <v>1</v>
      </c>
      <c r="K4" t="s">
        <v>26</v>
      </c>
    </row>
    <row r="5" spans="1:11" x14ac:dyDescent="0.3">
      <c r="A5">
        <v>1003</v>
      </c>
      <c r="B5" s="1">
        <v>46091</v>
      </c>
      <c r="C5" s="3">
        <v>0.9555555555555556</v>
      </c>
      <c r="D5" s="2">
        <f>tb_dados[[#This Row],[Data]]+tb_dados[[#This Row],[Hora]]</f>
        <v>46091.955555555556</v>
      </c>
      <c r="E5" t="s">
        <v>12</v>
      </c>
      <c r="F5" t="s">
        <v>13</v>
      </c>
      <c r="G5" t="s">
        <v>20</v>
      </c>
      <c r="H5" s="4">
        <v>420</v>
      </c>
      <c r="I5" s="5">
        <v>1</v>
      </c>
      <c r="K5" t="s">
        <v>25</v>
      </c>
    </row>
    <row r="6" spans="1:11" x14ac:dyDescent="0.3">
      <c r="A6">
        <v>1004</v>
      </c>
      <c r="B6" s="1">
        <v>46107</v>
      </c>
      <c r="C6" s="3">
        <v>0.6430555555555556</v>
      </c>
      <c r="D6" s="2">
        <f>tb_dados[[#This Row],[Data]]+tb_dados[[#This Row],[Hora]]</f>
        <v>46107.643055555556</v>
      </c>
      <c r="E6" t="s">
        <v>11</v>
      </c>
      <c r="F6" t="s">
        <v>15</v>
      </c>
      <c r="G6" t="s">
        <v>21</v>
      </c>
      <c r="H6" s="4">
        <v>350</v>
      </c>
      <c r="I6" s="5">
        <v>3</v>
      </c>
      <c r="K6" t="s">
        <v>26</v>
      </c>
    </row>
    <row r="7" spans="1:11" x14ac:dyDescent="0.3">
      <c r="A7">
        <v>1005</v>
      </c>
      <c r="B7" s="1">
        <v>46099</v>
      </c>
      <c r="C7" s="3">
        <v>0.50624999999999998</v>
      </c>
      <c r="D7" s="2">
        <f>tb_dados[[#This Row],[Data]]+tb_dados[[#This Row],[Hora]]</f>
        <v>46099.506249999999</v>
      </c>
      <c r="E7" t="s">
        <v>11</v>
      </c>
      <c r="F7" t="s">
        <v>15</v>
      </c>
      <c r="G7" t="s">
        <v>21</v>
      </c>
      <c r="H7" s="4">
        <v>350</v>
      </c>
      <c r="I7" s="5">
        <v>3</v>
      </c>
      <c r="K7" t="s">
        <v>27</v>
      </c>
    </row>
    <row r="8" spans="1:11" x14ac:dyDescent="0.3">
      <c r="A8">
        <v>1006</v>
      </c>
      <c r="B8" s="1">
        <v>46081</v>
      </c>
      <c r="C8" s="3">
        <v>0.80069444444444438</v>
      </c>
      <c r="D8" s="2">
        <f>tb_dados[[#This Row],[Data]]+tb_dados[[#This Row],[Hora]]</f>
        <v>46081.800694444442</v>
      </c>
      <c r="E8" t="s">
        <v>10</v>
      </c>
      <c r="F8" t="s">
        <v>13</v>
      </c>
      <c r="G8" t="s">
        <v>22</v>
      </c>
      <c r="H8" s="4">
        <v>2100</v>
      </c>
      <c r="I8" s="5">
        <v>2</v>
      </c>
      <c r="K8" t="s">
        <v>28</v>
      </c>
    </row>
    <row r="9" spans="1:11" x14ac:dyDescent="0.3">
      <c r="A9">
        <v>1007</v>
      </c>
      <c r="B9" s="1">
        <v>46086</v>
      </c>
      <c r="C9" s="3">
        <v>0.61111111111111105</v>
      </c>
      <c r="D9" s="2">
        <f>tb_dados[[#This Row],[Data]]+tb_dados[[#This Row],[Hora]]</f>
        <v>46086.611111111109</v>
      </c>
      <c r="E9" t="s">
        <v>10</v>
      </c>
      <c r="F9" t="s">
        <v>15</v>
      </c>
      <c r="G9" t="s">
        <v>23</v>
      </c>
      <c r="H9" s="4">
        <v>4500</v>
      </c>
      <c r="I9" s="5">
        <v>3</v>
      </c>
      <c r="K9" t="s">
        <v>28</v>
      </c>
    </row>
    <row r="10" spans="1:11" x14ac:dyDescent="0.3">
      <c r="A10">
        <v>1008</v>
      </c>
      <c r="B10" s="1">
        <v>46099</v>
      </c>
      <c r="C10" s="3">
        <v>0.92013888888888884</v>
      </c>
      <c r="D10" s="2">
        <f>tb_dados[[#This Row],[Data]]+tb_dados[[#This Row],[Hora]]</f>
        <v>46099.920138888891</v>
      </c>
      <c r="E10" t="s">
        <v>11</v>
      </c>
      <c r="F10" t="s">
        <v>13</v>
      </c>
      <c r="G10" t="s">
        <v>24</v>
      </c>
      <c r="H10" s="4">
        <v>280</v>
      </c>
      <c r="I10" s="5">
        <v>1</v>
      </c>
      <c r="K10" t="s">
        <v>27</v>
      </c>
    </row>
    <row r="11" spans="1:11" x14ac:dyDescent="0.3">
      <c r="A11">
        <v>1009</v>
      </c>
      <c r="B11" s="1">
        <v>46093</v>
      </c>
      <c r="C11" s="3">
        <v>0.34027777777777773</v>
      </c>
      <c r="D11" s="2">
        <f>tb_dados[[#This Row],[Data]]+tb_dados[[#This Row],[Hora]]</f>
        <v>46093.340277777781</v>
      </c>
      <c r="E11" t="s">
        <v>12</v>
      </c>
      <c r="F11" t="s">
        <v>16</v>
      </c>
      <c r="G11" t="s">
        <v>19</v>
      </c>
      <c r="H11" s="4">
        <v>850</v>
      </c>
      <c r="I11" s="5">
        <v>2</v>
      </c>
      <c r="K11" t="s">
        <v>25</v>
      </c>
    </row>
    <row r="12" spans="1:11" x14ac:dyDescent="0.3">
      <c r="A12">
        <v>1010</v>
      </c>
      <c r="B12" s="1">
        <v>46088</v>
      </c>
      <c r="C12" s="3">
        <v>0.66249999999999998</v>
      </c>
      <c r="D12" s="2">
        <f>tb_dados[[#This Row],[Data]]+tb_dados[[#This Row],[Hora]]</f>
        <v>46088.662499999999</v>
      </c>
      <c r="E12" t="s">
        <v>12</v>
      </c>
      <c r="F12" t="s">
        <v>14</v>
      </c>
      <c r="G12" t="s">
        <v>19</v>
      </c>
      <c r="H12" s="4">
        <v>850</v>
      </c>
      <c r="I12" s="5">
        <v>3</v>
      </c>
      <c r="K12" t="s">
        <v>25</v>
      </c>
    </row>
    <row r="13" spans="1:11" x14ac:dyDescent="0.3">
      <c r="A13">
        <v>1011</v>
      </c>
      <c r="B13" s="1">
        <v>46088</v>
      </c>
      <c r="C13" s="3">
        <v>0.71388888888888891</v>
      </c>
      <c r="D13" s="2">
        <f>tb_dados[[#This Row],[Data]]+tb_dados[[#This Row],[Hora]]</f>
        <v>46088.713888888888</v>
      </c>
      <c r="E13" t="s">
        <v>12</v>
      </c>
      <c r="F13" t="s">
        <v>13</v>
      </c>
      <c r="G13" t="s">
        <v>20</v>
      </c>
      <c r="H13" s="4">
        <v>420</v>
      </c>
      <c r="I13" s="5">
        <v>1</v>
      </c>
      <c r="K13" t="s">
        <v>26</v>
      </c>
    </row>
    <row r="14" spans="1:11" x14ac:dyDescent="0.3">
      <c r="A14">
        <v>1012</v>
      </c>
      <c r="B14" s="1">
        <v>46097</v>
      </c>
      <c r="C14" s="3">
        <v>0.88402777777777775</v>
      </c>
      <c r="D14" s="2">
        <f>tb_dados[[#This Row],[Data]]+tb_dados[[#This Row],[Hora]]</f>
        <v>46097.884027777778</v>
      </c>
      <c r="E14" t="s">
        <v>10</v>
      </c>
      <c r="F14" t="s">
        <v>14</v>
      </c>
      <c r="G14" t="s">
        <v>17</v>
      </c>
      <c r="H14" s="4">
        <v>900</v>
      </c>
      <c r="I14" s="5">
        <v>2</v>
      </c>
      <c r="K14" t="s">
        <v>28</v>
      </c>
    </row>
    <row r="15" spans="1:11" x14ac:dyDescent="0.3">
      <c r="A15">
        <v>1013</v>
      </c>
      <c r="B15" s="1">
        <v>46082</v>
      </c>
      <c r="C15" s="3">
        <v>0.92361111111111116</v>
      </c>
      <c r="D15" s="2">
        <f>tb_dados[[#This Row],[Data]]+tb_dados[[#This Row],[Hora]]</f>
        <v>46082.923611111109</v>
      </c>
      <c r="E15" t="s">
        <v>11</v>
      </c>
      <c r="F15" t="s">
        <v>16</v>
      </c>
      <c r="G15" t="s">
        <v>24</v>
      </c>
      <c r="H15" s="4">
        <v>280</v>
      </c>
      <c r="I15" s="5">
        <v>2</v>
      </c>
      <c r="K15" t="s">
        <v>28</v>
      </c>
    </row>
    <row r="16" spans="1:11" x14ac:dyDescent="0.3">
      <c r="A16">
        <v>1014</v>
      </c>
      <c r="B16" s="1">
        <v>46082</v>
      </c>
      <c r="C16" s="3">
        <v>0.87013888888888891</v>
      </c>
      <c r="D16" s="2">
        <f>tb_dados[[#This Row],[Data]]+tb_dados[[#This Row],[Hora]]</f>
        <v>46082.870138888888</v>
      </c>
      <c r="E16" t="s">
        <v>11</v>
      </c>
      <c r="F16" t="s">
        <v>16</v>
      </c>
      <c r="G16" t="s">
        <v>21</v>
      </c>
      <c r="H16" s="4">
        <v>350</v>
      </c>
      <c r="I16" s="5">
        <v>1</v>
      </c>
      <c r="K16" t="s">
        <v>28</v>
      </c>
    </row>
    <row r="17" spans="1:11" x14ac:dyDescent="0.3">
      <c r="A17">
        <v>1015</v>
      </c>
      <c r="B17" s="1">
        <v>46097</v>
      </c>
      <c r="C17" s="3">
        <v>0.43263888888888885</v>
      </c>
      <c r="D17" s="2">
        <f>tb_dados[[#This Row],[Data]]+tb_dados[[#This Row],[Hora]]</f>
        <v>46097.432638888888</v>
      </c>
      <c r="E17" t="s">
        <v>11</v>
      </c>
      <c r="F17" t="s">
        <v>14</v>
      </c>
      <c r="G17" t="s">
        <v>24</v>
      </c>
      <c r="H17" s="4">
        <v>280</v>
      </c>
      <c r="I17" s="5">
        <v>3</v>
      </c>
      <c r="K17" t="s">
        <v>26</v>
      </c>
    </row>
    <row r="18" spans="1:11" x14ac:dyDescent="0.3">
      <c r="A18">
        <v>1016</v>
      </c>
      <c r="B18" s="1">
        <v>46095</v>
      </c>
      <c r="C18" s="3">
        <v>0.94861111111111107</v>
      </c>
      <c r="D18" s="2">
        <f>tb_dados[[#This Row],[Data]]+tb_dados[[#This Row],[Hora]]</f>
        <v>46095.948611111111</v>
      </c>
      <c r="E18" t="s">
        <v>10</v>
      </c>
      <c r="F18" t="s">
        <v>16</v>
      </c>
      <c r="G18" t="s">
        <v>23</v>
      </c>
      <c r="H18" s="4">
        <v>4500</v>
      </c>
      <c r="I18" s="5">
        <v>3</v>
      </c>
      <c r="K18" t="s">
        <v>27</v>
      </c>
    </row>
    <row r="19" spans="1:11" x14ac:dyDescent="0.3">
      <c r="A19">
        <v>1017</v>
      </c>
      <c r="B19" s="1">
        <v>46102</v>
      </c>
      <c r="C19" s="3">
        <v>0.4513888888888889</v>
      </c>
      <c r="D19" s="2">
        <f>tb_dados[[#This Row],[Data]]+tb_dados[[#This Row],[Hora]]</f>
        <v>46102.451388888891</v>
      </c>
      <c r="E19" t="s">
        <v>12</v>
      </c>
      <c r="F19" t="s">
        <v>14</v>
      </c>
      <c r="G19" t="s">
        <v>20</v>
      </c>
      <c r="H19" s="4">
        <v>420</v>
      </c>
      <c r="I19" s="5">
        <v>2</v>
      </c>
      <c r="K19" t="s">
        <v>27</v>
      </c>
    </row>
    <row r="20" spans="1:11" x14ac:dyDescent="0.3">
      <c r="A20">
        <v>1018</v>
      </c>
      <c r="B20" s="1">
        <v>46097</v>
      </c>
      <c r="C20" s="3">
        <v>0.5395833333333333</v>
      </c>
      <c r="D20" s="2">
        <f>tb_dados[[#This Row],[Data]]+tb_dados[[#This Row],[Hora]]</f>
        <v>46097.539583333331</v>
      </c>
      <c r="E20" t="s">
        <v>10</v>
      </c>
      <c r="F20" t="s">
        <v>15</v>
      </c>
      <c r="G20" t="s">
        <v>17</v>
      </c>
      <c r="H20" s="4">
        <v>900</v>
      </c>
      <c r="I20" s="5">
        <v>3</v>
      </c>
      <c r="K20" t="s">
        <v>26</v>
      </c>
    </row>
    <row r="21" spans="1:11" x14ac:dyDescent="0.3">
      <c r="A21">
        <v>1019</v>
      </c>
      <c r="B21" s="1">
        <v>46098</v>
      </c>
      <c r="C21" s="3">
        <v>0.3756944444444445</v>
      </c>
      <c r="D21" s="2">
        <f>tb_dados[[#This Row],[Data]]+tb_dados[[#This Row],[Hora]]</f>
        <v>46098.375694444447</v>
      </c>
      <c r="E21" t="s">
        <v>11</v>
      </c>
      <c r="F21" t="s">
        <v>13</v>
      </c>
      <c r="G21" t="s">
        <v>18</v>
      </c>
      <c r="H21" s="4">
        <v>120</v>
      </c>
      <c r="I21" s="5">
        <v>2</v>
      </c>
      <c r="K21" t="s">
        <v>26</v>
      </c>
    </row>
    <row r="22" spans="1:11" x14ac:dyDescent="0.3">
      <c r="A22">
        <v>1020</v>
      </c>
      <c r="B22" s="1">
        <v>46086</v>
      </c>
      <c r="C22" s="3">
        <v>0.79861111111111116</v>
      </c>
      <c r="D22" s="2">
        <f>tb_dados[[#This Row],[Data]]+tb_dados[[#This Row],[Hora]]</f>
        <v>46086.798611111109</v>
      </c>
      <c r="E22" t="s">
        <v>10</v>
      </c>
      <c r="F22" t="s">
        <v>13</v>
      </c>
      <c r="G22" t="s">
        <v>23</v>
      </c>
      <c r="H22" s="4">
        <v>4500</v>
      </c>
      <c r="I22" s="5">
        <v>3</v>
      </c>
      <c r="K22" t="s">
        <v>28</v>
      </c>
    </row>
    <row r="23" spans="1:11" x14ac:dyDescent="0.3">
      <c r="A23">
        <v>1021</v>
      </c>
      <c r="B23" s="1">
        <v>46090</v>
      </c>
      <c r="C23" s="3">
        <v>0.58472222222222225</v>
      </c>
      <c r="D23" s="2">
        <f>tb_dados[[#This Row],[Data]]+tb_dados[[#This Row],[Hora]]</f>
        <v>46090.584722222222</v>
      </c>
      <c r="E23" t="s">
        <v>12</v>
      </c>
      <c r="F23" t="s">
        <v>14</v>
      </c>
      <c r="G23" t="s">
        <v>20</v>
      </c>
      <c r="H23" s="4">
        <v>420</v>
      </c>
      <c r="I23" s="5">
        <v>2</v>
      </c>
      <c r="K23" t="s">
        <v>26</v>
      </c>
    </row>
    <row r="24" spans="1:11" x14ac:dyDescent="0.3">
      <c r="A24">
        <v>1022</v>
      </c>
      <c r="B24" s="1">
        <v>46092</v>
      </c>
      <c r="C24" s="3">
        <v>0.5708333333333333</v>
      </c>
      <c r="D24" s="2">
        <f>tb_dados[[#This Row],[Data]]+tb_dados[[#This Row],[Hora]]</f>
        <v>46092.570833333331</v>
      </c>
      <c r="E24" t="s">
        <v>12</v>
      </c>
      <c r="F24" t="s">
        <v>14</v>
      </c>
      <c r="G24" t="s">
        <v>19</v>
      </c>
      <c r="H24" s="4">
        <v>850</v>
      </c>
      <c r="I24" s="5">
        <v>1</v>
      </c>
      <c r="K24" t="s">
        <v>27</v>
      </c>
    </row>
    <row r="25" spans="1:11" x14ac:dyDescent="0.3">
      <c r="A25">
        <v>1023</v>
      </c>
      <c r="B25" s="1">
        <v>46087</v>
      </c>
      <c r="C25" s="3">
        <v>0.49513888888888885</v>
      </c>
      <c r="D25" s="2">
        <f>tb_dados[[#This Row],[Data]]+tb_dados[[#This Row],[Hora]]</f>
        <v>46087.495138888888</v>
      </c>
      <c r="E25" t="s">
        <v>11</v>
      </c>
      <c r="F25" t="s">
        <v>14</v>
      </c>
      <c r="G25" t="s">
        <v>24</v>
      </c>
      <c r="H25" s="4">
        <v>280</v>
      </c>
      <c r="I25" s="5">
        <v>3</v>
      </c>
      <c r="K25" t="s">
        <v>25</v>
      </c>
    </row>
    <row r="26" spans="1:11" x14ac:dyDescent="0.3">
      <c r="A26">
        <v>1024</v>
      </c>
      <c r="B26" s="1">
        <v>46088</v>
      </c>
      <c r="C26" s="3">
        <v>0.59375</v>
      </c>
      <c r="D26" s="2">
        <f>tb_dados[[#This Row],[Data]]+tb_dados[[#This Row],[Hora]]</f>
        <v>46088.59375</v>
      </c>
      <c r="E26" t="s">
        <v>11</v>
      </c>
      <c r="F26" t="s">
        <v>15</v>
      </c>
      <c r="G26" t="s">
        <v>21</v>
      </c>
      <c r="H26" s="4">
        <v>350</v>
      </c>
      <c r="I26" s="5">
        <v>1</v>
      </c>
      <c r="K26" t="s">
        <v>26</v>
      </c>
    </row>
    <row r="27" spans="1:11" x14ac:dyDescent="0.3">
      <c r="A27">
        <v>1025</v>
      </c>
      <c r="B27" s="1">
        <v>46102</v>
      </c>
      <c r="C27" s="3">
        <v>0.45833333333333331</v>
      </c>
      <c r="D27" s="2">
        <f>tb_dados[[#This Row],[Data]]+tb_dados[[#This Row],[Hora]]</f>
        <v>46102.458333333336</v>
      </c>
      <c r="E27" t="s">
        <v>10</v>
      </c>
      <c r="F27" t="s">
        <v>14</v>
      </c>
      <c r="G27" t="s">
        <v>17</v>
      </c>
      <c r="H27" s="4">
        <v>900</v>
      </c>
      <c r="I27" s="5">
        <v>2</v>
      </c>
      <c r="K27" t="s">
        <v>28</v>
      </c>
    </row>
    <row r="28" spans="1:11" x14ac:dyDescent="0.3">
      <c r="A28">
        <v>1026</v>
      </c>
      <c r="B28" s="1">
        <v>46097</v>
      </c>
      <c r="C28" s="3">
        <v>0.65555555555555556</v>
      </c>
      <c r="D28" s="2">
        <f>tb_dados[[#This Row],[Data]]+tb_dados[[#This Row],[Hora]]</f>
        <v>46097.655555555553</v>
      </c>
      <c r="E28" t="s">
        <v>11</v>
      </c>
      <c r="F28" t="s">
        <v>13</v>
      </c>
      <c r="G28" t="s">
        <v>24</v>
      </c>
      <c r="H28" s="4">
        <v>280</v>
      </c>
      <c r="I28" s="5">
        <v>2</v>
      </c>
      <c r="K28" t="s">
        <v>27</v>
      </c>
    </row>
    <row r="29" spans="1:11" x14ac:dyDescent="0.3">
      <c r="A29">
        <v>1027</v>
      </c>
      <c r="B29" s="1">
        <v>46092</v>
      </c>
      <c r="C29" s="3">
        <v>0.65208333333333335</v>
      </c>
      <c r="D29" s="2">
        <f>tb_dados[[#This Row],[Data]]+tb_dados[[#This Row],[Hora]]</f>
        <v>46092.652083333334</v>
      </c>
      <c r="E29" t="s">
        <v>12</v>
      </c>
      <c r="F29" t="s">
        <v>13</v>
      </c>
      <c r="G29" t="s">
        <v>19</v>
      </c>
      <c r="H29" s="4">
        <v>850</v>
      </c>
      <c r="I29" s="5">
        <v>1</v>
      </c>
      <c r="K29" t="s">
        <v>26</v>
      </c>
    </row>
    <row r="30" spans="1:11" x14ac:dyDescent="0.3">
      <c r="A30">
        <v>1028</v>
      </c>
      <c r="B30" s="1">
        <v>46100</v>
      </c>
      <c r="C30" s="3">
        <v>0.93541666666666667</v>
      </c>
      <c r="D30" s="2">
        <f>tb_dados[[#This Row],[Data]]+tb_dados[[#This Row],[Hora]]</f>
        <v>46100.935416666667</v>
      </c>
      <c r="E30" t="s">
        <v>11</v>
      </c>
      <c r="F30" t="s">
        <v>15</v>
      </c>
      <c r="G30" t="s">
        <v>24</v>
      </c>
      <c r="H30" s="4">
        <v>280</v>
      </c>
      <c r="I30" s="5">
        <v>1</v>
      </c>
      <c r="K30" t="s">
        <v>27</v>
      </c>
    </row>
    <row r="31" spans="1:11" x14ac:dyDescent="0.3">
      <c r="A31">
        <v>1029</v>
      </c>
      <c r="B31" s="1">
        <v>46087</v>
      </c>
      <c r="C31" s="3">
        <v>0.88611111111111107</v>
      </c>
      <c r="D31" s="2">
        <f>tb_dados[[#This Row],[Data]]+tb_dados[[#This Row],[Hora]]</f>
        <v>46087.886111111111</v>
      </c>
      <c r="E31" t="s">
        <v>10</v>
      </c>
      <c r="F31" t="s">
        <v>16</v>
      </c>
      <c r="G31" t="s">
        <v>22</v>
      </c>
      <c r="H31" s="4">
        <v>2100</v>
      </c>
      <c r="I31" s="5">
        <v>2</v>
      </c>
      <c r="K31" t="s">
        <v>28</v>
      </c>
    </row>
    <row r="32" spans="1:11" x14ac:dyDescent="0.3">
      <c r="A32">
        <v>1030</v>
      </c>
      <c r="B32" s="1">
        <v>46085</v>
      </c>
      <c r="C32" s="3">
        <v>0.93402777777777779</v>
      </c>
      <c r="D32" s="2">
        <f>tb_dados[[#This Row],[Data]]+tb_dados[[#This Row],[Hora]]</f>
        <v>46085.934027777781</v>
      </c>
      <c r="E32" t="s">
        <v>10</v>
      </c>
      <c r="F32" t="s">
        <v>15</v>
      </c>
      <c r="G32" t="s">
        <v>23</v>
      </c>
      <c r="H32" s="4">
        <v>4500</v>
      </c>
      <c r="I32" s="5">
        <v>1</v>
      </c>
      <c r="K32" t="s">
        <v>26</v>
      </c>
    </row>
    <row r="33" spans="1:11" x14ac:dyDescent="0.3">
      <c r="A33">
        <v>1031</v>
      </c>
      <c r="B33" s="1">
        <v>46095</v>
      </c>
      <c r="C33" s="3">
        <v>0.7402777777777777</v>
      </c>
      <c r="D33" s="2">
        <f>tb_dados[[#This Row],[Data]]+tb_dados[[#This Row],[Hora]]</f>
        <v>46095.740277777775</v>
      </c>
      <c r="E33" t="s">
        <v>11</v>
      </c>
      <c r="F33" t="s">
        <v>13</v>
      </c>
      <c r="G33" t="s">
        <v>21</v>
      </c>
      <c r="H33" s="4">
        <v>350</v>
      </c>
      <c r="I33" s="5">
        <v>1</v>
      </c>
      <c r="K33" t="s">
        <v>25</v>
      </c>
    </row>
    <row r="34" spans="1:11" x14ac:dyDescent="0.3">
      <c r="A34">
        <v>1032</v>
      </c>
      <c r="B34" s="1">
        <v>46083</v>
      </c>
      <c r="C34" s="3">
        <v>0.35555555555555557</v>
      </c>
      <c r="D34" s="2">
        <f>tb_dados[[#This Row],[Data]]+tb_dados[[#This Row],[Hora]]</f>
        <v>46083.355555555558</v>
      </c>
      <c r="E34" t="s">
        <v>12</v>
      </c>
      <c r="F34" t="s">
        <v>15</v>
      </c>
      <c r="G34" t="s">
        <v>19</v>
      </c>
      <c r="H34" s="4">
        <v>850</v>
      </c>
      <c r="I34" s="5">
        <v>3</v>
      </c>
      <c r="K34" t="s">
        <v>25</v>
      </c>
    </row>
    <row r="35" spans="1:11" x14ac:dyDescent="0.3">
      <c r="A35">
        <v>1033</v>
      </c>
      <c r="B35" s="1">
        <v>46098</v>
      </c>
      <c r="C35" s="3">
        <v>0.81736111111111109</v>
      </c>
      <c r="D35" s="2">
        <f>tb_dados[[#This Row],[Data]]+tb_dados[[#This Row],[Hora]]</f>
        <v>46098.817361111112</v>
      </c>
      <c r="E35" t="s">
        <v>11</v>
      </c>
      <c r="F35" t="s">
        <v>14</v>
      </c>
      <c r="G35" t="s">
        <v>24</v>
      </c>
      <c r="H35" s="4">
        <v>280</v>
      </c>
      <c r="I35" s="5">
        <v>1</v>
      </c>
      <c r="K35" t="s">
        <v>28</v>
      </c>
    </row>
    <row r="36" spans="1:11" x14ac:dyDescent="0.3">
      <c r="A36">
        <v>1034</v>
      </c>
      <c r="B36" s="1">
        <v>46090</v>
      </c>
      <c r="C36" s="3">
        <v>0.86875000000000002</v>
      </c>
      <c r="D36" s="2">
        <f>tb_dados[[#This Row],[Data]]+tb_dados[[#This Row],[Hora]]</f>
        <v>46090.868750000001</v>
      </c>
      <c r="E36" t="s">
        <v>10</v>
      </c>
      <c r="F36" t="s">
        <v>15</v>
      </c>
      <c r="G36" t="s">
        <v>23</v>
      </c>
      <c r="H36" s="4">
        <v>4500</v>
      </c>
      <c r="I36" s="5">
        <v>1</v>
      </c>
      <c r="K36" t="s">
        <v>27</v>
      </c>
    </row>
    <row r="37" spans="1:11" x14ac:dyDescent="0.3">
      <c r="A37">
        <v>1035</v>
      </c>
      <c r="B37" s="1">
        <v>46107</v>
      </c>
      <c r="C37" s="3">
        <v>0.44513888888888892</v>
      </c>
      <c r="D37" s="2">
        <f>tb_dados[[#This Row],[Data]]+tb_dados[[#This Row],[Hora]]</f>
        <v>46107.445138888892</v>
      </c>
      <c r="E37" t="s">
        <v>10</v>
      </c>
      <c r="F37" t="s">
        <v>13</v>
      </c>
      <c r="G37" t="s">
        <v>17</v>
      </c>
      <c r="H37" s="4">
        <v>900</v>
      </c>
      <c r="I37" s="5">
        <v>3</v>
      </c>
      <c r="K37" t="s">
        <v>27</v>
      </c>
    </row>
    <row r="38" spans="1:11" x14ac:dyDescent="0.3">
      <c r="A38">
        <v>1036</v>
      </c>
      <c r="B38" s="1">
        <v>46085</v>
      </c>
      <c r="C38" s="3">
        <v>0.72361111111111109</v>
      </c>
      <c r="D38" s="2">
        <f>tb_dados[[#This Row],[Data]]+tb_dados[[#This Row],[Hora]]</f>
        <v>46085.723611111112</v>
      </c>
      <c r="E38" t="s">
        <v>12</v>
      </c>
      <c r="F38" t="s">
        <v>13</v>
      </c>
      <c r="G38" t="s">
        <v>20</v>
      </c>
      <c r="H38" s="4">
        <v>420</v>
      </c>
      <c r="I38" s="5">
        <v>3</v>
      </c>
      <c r="K38" t="s">
        <v>27</v>
      </c>
    </row>
    <row r="39" spans="1:11" x14ac:dyDescent="0.3">
      <c r="A39">
        <v>1037</v>
      </c>
      <c r="B39" s="1">
        <v>46094</v>
      </c>
      <c r="C39" s="3">
        <v>0.44791666666666669</v>
      </c>
      <c r="D39" s="2">
        <f>tb_dados[[#This Row],[Data]]+tb_dados[[#This Row],[Hora]]</f>
        <v>46094.447916666664</v>
      </c>
      <c r="E39" t="s">
        <v>10</v>
      </c>
      <c r="F39" t="s">
        <v>15</v>
      </c>
      <c r="G39" t="s">
        <v>17</v>
      </c>
      <c r="H39" s="4">
        <v>900</v>
      </c>
      <c r="I39" s="5">
        <v>2</v>
      </c>
      <c r="K39" t="s">
        <v>27</v>
      </c>
    </row>
    <row r="40" spans="1:11" x14ac:dyDescent="0.3">
      <c r="A40">
        <v>1038</v>
      </c>
      <c r="B40" s="1">
        <v>46100</v>
      </c>
      <c r="C40" s="3">
        <v>0.67847222222222225</v>
      </c>
      <c r="D40" s="2">
        <f>tb_dados[[#This Row],[Data]]+tb_dados[[#This Row],[Hora]]</f>
        <v>46100.678472222222</v>
      </c>
      <c r="E40" t="s">
        <v>12</v>
      </c>
      <c r="F40" t="s">
        <v>14</v>
      </c>
      <c r="G40" t="s">
        <v>20</v>
      </c>
      <c r="H40" s="4">
        <v>420</v>
      </c>
      <c r="I40" s="5">
        <v>1</v>
      </c>
      <c r="K40" t="s">
        <v>27</v>
      </c>
    </row>
    <row r="41" spans="1:11" x14ac:dyDescent="0.3">
      <c r="A41">
        <v>1039</v>
      </c>
      <c r="B41" s="1">
        <v>46093</v>
      </c>
      <c r="C41" s="3">
        <v>0.66388888888888886</v>
      </c>
      <c r="D41" s="2">
        <f>tb_dados[[#This Row],[Data]]+tb_dados[[#This Row],[Hora]]</f>
        <v>46093.663888888892</v>
      </c>
      <c r="E41" t="s">
        <v>11</v>
      </c>
      <c r="F41" t="s">
        <v>16</v>
      </c>
      <c r="G41" t="s">
        <v>18</v>
      </c>
      <c r="H41" s="4">
        <v>120</v>
      </c>
      <c r="I41" s="5">
        <v>1</v>
      </c>
      <c r="K41" t="s">
        <v>25</v>
      </c>
    </row>
    <row r="42" spans="1:11" x14ac:dyDescent="0.3">
      <c r="A42">
        <v>1040</v>
      </c>
      <c r="B42" s="1">
        <v>46099</v>
      </c>
      <c r="C42" s="3">
        <v>0.8354166666666667</v>
      </c>
      <c r="D42" s="2">
        <f>tb_dados[[#This Row],[Data]]+tb_dados[[#This Row],[Hora]]</f>
        <v>46099.835416666669</v>
      </c>
      <c r="E42" t="s">
        <v>10</v>
      </c>
      <c r="F42" t="s">
        <v>15</v>
      </c>
      <c r="G42" t="s">
        <v>22</v>
      </c>
      <c r="H42" s="4">
        <v>2100</v>
      </c>
      <c r="I42" s="5">
        <v>3</v>
      </c>
      <c r="K42" t="s">
        <v>26</v>
      </c>
    </row>
    <row r="43" spans="1:11" x14ac:dyDescent="0.3">
      <c r="A43">
        <v>1041</v>
      </c>
      <c r="B43" s="1">
        <v>46085</v>
      </c>
      <c r="C43" s="3">
        <v>0.55486111111111114</v>
      </c>
      <c r="D43" s="2">
        <f>tb_dados[[#This Row],[Data]]+tb_dados[[#This Row],[Hora]]</f>
        <v>46085.554861111108</v>
      </c>
      <c r="E43" t="s">
        <v>12</v>
      </c>
      <c r="F43" t="s">
        <v>16</v>
      </c>
      <c r="G43" t="s">
        <v>20</v>
      </c>
      <c r="H43" s="4">
        <v>420</v>
      </c>
      <c r="I43" s="5">
        <v>2</v>
      </c>
      <c r="K43" t="s">
        <v>25</v>
      </c>
    </row>
    <row r="44" spans="1:11" x14ac:dyDescent="0.3">
      <c r="A44">
        <v>1042</v>
      </c>
      <c r="B44" s="1">
        <v>46107</v>
      </c>
      <c r="C44" s="3">
        <v>0.80902777777777779</v>
      </c>
      <c r="D44" s="2">
        <f>tb_dados[[#This Row],[Data]]+tb_dados[[#This Row],[Hora]]</f>
        <v>46107.809027777781</v>
      </c>
      <c r="E44" t="s">
        <v>10</v>
      </c>
      <c r="F44" t="s">
        <v>14</v>
      </c>
      <c r="G44" t="s">
        <v>22</v>
      </c>
      <c r="H44" s="4">
        <v>2100</v>
      </c>
      <c r="I44" s="5">
        <v>2</v>
      </c>
      <c r="K44" t="s">
        <v>26</v>
      </c>
    </row>
    <row r="45" spans="1:11" x14ac:dyDescent="0.3">
      <c r="A45">
        <v>1043</v>
      </c>
      <c r="B45" s="1">
        <v>46092</v>
      </c>
      <c r="C45" s="3">
        <v>0.86111111111111116</v>
      </c>
      <c r="D45" s="2">
        <f>tb_dados[[#This Row],[Data]]+tb_dados[[#This Row],[Hora]]</f>
        <v>46092.861111111109</v>
      </c>
      <c r="E45" t="s">
        <v>11</v>
      </c>
      <c r="F45" t="s">
        <v>14</v>
      </c>
      <c r="G45" t="s">
        <v>21</v>
      </c>
      <c r="H45" s="4">
        <v>350</v>
      </c>
      <c r="I45" s="5">
        <v>2</v>
      </c>
      <c r="K45" t="s">
        <v>25</v>
      </c>
    </row>
    <row r="46" spans="1:11" x14ac:dyDescent="0.3">
      <c r="A46">
        <v>1044</v>
      </c>
      <c r="B46" s="1">
        <v>46097</v>
      </c>
      <c r="C46" s="3">
        <v>0.89583333333333337</v>
      </c>
      <c r="D46" s="2">
        <f>tb_dados[[#This Row],[Data]]+tb_dados[[#This Row],[Hora]]</f>
        <v>46097.895833333336</v>
      </c>
      <c r="E46" t="s">
        <v>10</v>
      </c>
      <c r="F46" t="s">
        <v>15</v>
      </c>
      <c r="G46" t="s">
        <v>22</v>
      </c>
      <c r="H46" s="4">
        <v>2100</v>
      </c>
      <c r="I46" s="5">
        <v>2</v>
      </c>
      <c r="K46" t="s">
        <v>25</v>
      </c>
    </row>
    <row r="47" spans="1:11" x14ac:dyDescent="0.3">
      <c r="A47">
        <v>1045</v>
      </c>
      <c r="B47" s="1">
        <v>46085</v>
      </c>
      <c r="C47" s="3">
        <v>0.50763888888888886</v>
      </c>
      <c r="D47" s="2">
        <f>tb_dados[[#This Row],[Data]]+tb_dados[[#This Row],[Hora]]</f>
        <v>46085.507638888892</v>
      </c>
      <c r="E47" t="s">
        <v>10</v>
      </c>
      <c r="F47" t="s">
        <v>13</v>
      </c>
      <c r="G47" t="s">
        <v>17</v>
      </c>
      <c r="H47" s="4">
        <v>900</v>
      </c>
      <c r="I47" s="5">
        <v>2</v>
      </c>
      <c r="K47" t="s">
        <v>26</v>
      </c>
    </row>
    <row r="48" spans="1:11" x14ac:dyDescent="0.3">
      <c r="A48">
        <v>1046</v>
      </c>
      <c r="B48" s="1">
        <v>46089</v>
      </c>
      <c r="C48" s="3">
        <v>0.71527777777777779</v>
      </c>
      <c r="D48" s="2">
        <f>tb_dados[[#This Row],[Data]]+tb_dados[[#This Row],[Hora]]</f>
        <v>46089.715277777781</v>
      </c>
      <c r="E48" t="s">
        <v>12</v>
      </c>
      <c r="F48" t="s">
        <v>14</v>
      </c>
      <c r="G48" t="s">
        <v>20</v>
      </c>
      <c r="H48" s="4">
        <v>420</v>
      </c>
      <c r="I48" s="5">
        <v>1</v>
      </c>
      <c r="K48" t="s">
        <v>27</v>
      </c>
    </row>
    <row r="49" spans="1:11" x14ac:dyDescent="0.3">
      <c r="A49">
        <v>1047</v>
      </c>
      <c r="B49" s="1">
        <v>46083</v>
      </c>
      <c r="C49" s="3">
        <v>0.91736111111111107</v>
      </c>
      <c r="D49" s="2">
        <f>tb_dados[[#This Row],[Data]]+tb_dados[[#This Row],[Hora]]</f>
        <v>46083.917361111111</v>
      </c>
      <c r="E49" t="s">
        <v>11</v>
      </c>
      <c r="F49" t="s">
        <v>15</v>
      </c>
      <c r="G49" t="s">
        <v>21</v>
      </c>
      <c r="H49" s="4">
        <v>350</v>
      </c>
      <c r="I49" s="5">
        <v>3</v>
      </c>
      <c r="K49" t="s">
        <v>25</v>
      </c>
    </row>
    <row r="50" spans="1:11" x14ac:dyDescent="0.3">
      <c r="A50">
        <v>1048</v>
      </c>
      <c r="B50" s="1">
        <v>46107</v>
      </c>
      <c r="C50" s="3">
        <v>0.8256944444444444</v>
      </c>
      <c r="D50" s="2">
        <f>tb_dados[[#This Row],[Data]]+tb_dados[[#This Row],[Hora]]</f>
        <v>46107.825694444444</v>
      </c>
      <c r="E50" t="s">
        <v>12</v>
      </c>
      <c r="F50" t="s">
        <v>16</v>
      </c>
      <c r="G50" t="s">
        <v>20</v>
      </c>
      <c r="H50" s="4">
        <v>420</v>
      </c>
      <c r="I50" s="5">
        <v>1</v>
      </c>
      <c r="K50" t="s">
        <v>28</v>
      </c>
    </row>
    <row r="51" spans="1:11" x14ac:dyDescent="0.3">
      <c r="A51">
        <v>1049</v>
      </c>
      <c r="B51" s="1">
        <v>46096</v>
      </c>
      <c r="C51" s="3">
        <v>0.75277777777777777</v>
      </c>
      <c r="D51" s="2">
        <f>tb_dados[[#This Row],[Data]]+tb_dados[[#This Row],[Hora]]</f>
        <v>46096.75277777778</v>
      </c>
      <c r="E51" t="s">
        <v>10</v>
      </c>
      <c r="F51" t="s">
        <v>15</v>
      </c>
      <c r="G51" t="s">
        <v>22</v>
      </c>
      <c r="H51" s="4">
        <v>2100</v>
      </c>
      <c r="I51" s="5">
        <v>1</v>
      </c>
      <c r="K51" t="s">
        <v>26</v>
      </c>
    </row>
    <row r="52" spans="1:11" x14ac:dyDescent="0.3">
      <c r="A52">
        <v>1050</v>
      </c>
      <c r="B52" s="1">
        <v>46108</v>
      </c>
      <c r="C52" s="3">
        <v>0.91736111111111107</v>
      </c>
      <c r="D52" s="2">
        <f>tb_dados[[#This Row],[Data]]+tb_dados[[#This Row],[Hora]]</f>
        <v>46108.917361111111</v>
      </c>
      <c r="E52" t="s">
        <v>12</v>
      </c>
      <c r="F52" t="s">
        <v>15</v>
      </c>
      <c r="G52" t="s">
        <v>19</v>
      </c>
      <c r="H52" s="4">
        <v>850</v>
      </c>
      <c r="I52" s="5">
        <v>1</v>
      </c>
      <c r="K52" t="s">
        <v>26</v>
      </c>
    </row>
    <row r="53" spans="1:11" x14ac:dyDescent="0.3">
      <c r="A53">
        <v>1051</v>
      </c>
      <c r="B53" s="1">
        <v>46107</v>
      </c>
      <c r="C53" s="3">
        <v>0.88055555555555554</v>
      </c>
      <c r="D53" s="2">
        <f>tb_dados[[#This Row],[Data]]+tb_dados[[#This Row],[Hora]]</f>
        <v>46107.880555555559</v>
      </c>
      <c r="E53" t="s">
        <v>11</v>
      </c>
      <c r="F53" t="s">
        <v>14</v>
      </c>
      <c r="G53" t="s">
        <v>24</v>
      </c>
      <c r="H53" s="4">
        <v>280</v>
      </c>
      <c r="I53" s="5">
        <v>3</v>
      </c>
      <c r="K53" t="s">
        <v>25</v>
      </c>
    </row>
    <row r="54" spans="1:11" x14ac:dyDescent="0.3">
      <c r="A54">
        <v>1052</v>
      </c>
      <c r="B54" s="1">
        <v>46101</v>
      </c>
      <c r="C54" s="3">
        <v>0.3756944444444445</v>
      </c>
      <c r="D54" s="2">
        <f>tb_dados[[#This Row],[Data]]+tb_dados[[#This Row],[Hora]]</f>
        <v>46101.375694444447</v>
      </c>
      <c r="E54" t="s">
        <v>11</v>
      </c>
      <c r="F54" t="s">
        <v>14</v>
      </c>
      <c r="G54" t="s">
        <v>24</v>
      </c>
      <c r="H54" s="4">
        <v>280</v>
      </c>
      <c r="I54" s="5">
        <v>2</v>
      </c>
      <c r="K54" t="s">
        <v>27</v>
      </c>
    </row>
    <row r="55" spans="1:11" x14ac:dyDescent="0.3">
      <c r="A55">
        <v>1053</v>
      </c>
      <c r="B55" s="1">
        <v>46095</v>
      </c>
      <c r="C55" s="3">
        <v>0.57986111111111105</v>
      </c>
      <c r="D55" s="2">
        <f>tb_dados[[#This Row],[Data]]+tb_dados[[#This Row],[Hora]]</f>
        <v>46095.579861111109</v>
      </c>
      <c r="E55" t="s">
        <v>10</v>
      </c>
      <c r="F55" t="s">
        <v>15</v>
      </c>
      <c r="G55" t="s">
        <v>23</v>
      </c>
      <c r="H55" s="4">
        <v>4500</v>
      </c>
      <c r="I55" s="5">
        <v>1</v>
      </c>
      <c r="K55" t="s">
        <v>28</v>
      </c>
    </row>
    <row r="56" spans="1:11" x14ac:dyDescent="0.3">
      <c r="A56">
        <v>1054</v>
      </c>
      <c r="B56" s="1">
        <v>46092</v>
      </c>
      <c r="C56" s="3">
        <v>0.56736111111111109</v>
      </c>
      <c r="D56" s="2">
        <f>tb_dados[[#This Row],[Data]]+tb_dados[[#This Row],[Hora]]</f>
        <v>46092.567361111112</v>
      </c>
      <c r="E56" t="s">
        <v>10</v>
      </c>
      <c r="F56" t="s">
        <v>13</v>
      </c>
      <c r="G56" t="s">
        <v>22</v>
      </c>
      <c r="H56" s="4">
        <v>2100</v>
      </c>
      <c r="I56" s="5">
        <v>1</v>
      </c>
      <c r="K56" t="s">
        <v>27</v>
      </c>
    </row>
    <row r="57" spans="1:11" x14ac:dyDescent="0.3">
      <c r="A57">
        <v>1055</v>
      </c>
      <c r="B57" s="1">
        <v>46086</v>
      </c>
      <c r="C57" s="3">
        <v>0.3979166666666667</v>
      </c>
      <c r="D57" s="2">
        <f>tb_dados[[#This Row],[Data]]+tb_dados[[#This Row],[Hora]]</f>
        <v>46086.397916666669</v>
      </c>
      <c r="E57" t="s">
        <v>10</v>
      </c>
      <c r="F57" t="s">
        <v>15</v>
      </c>
      <c r="G57" t="s">
        <v>23</v>
      </c>
      <c r="H57" s="4">
        <v>4500</v>
      </c>
      <c r="I57" s="5">
        <v>1</v>
      </c>
      <c r="K57" t="s">
        <v>27</v>
      </c>
    </row>
    <row r="58" spans="1:11" x14ac:dyDescent="0.3">
      <c r="A58">
        <v>1056</v>
      </c>
      <c r="B58" s="1">
        <v>46087</v>
      </c>
      <c r="C58" s="3">
        <v>0.7944444444444444</v>
      </c>
      <c r="D58" s="2">
        <f>tb_dados[[#This Row],[Data]]+tb_dados[[#This Row],[Hora]]</f>
        <v>46087.794444444444</v>
      </c>
      <c r="E58" t="s">
        <v>10</v>
      </c>
      <c r="F58" t="s">
        <v>15</v>
      </c>
      <c r="G58" t="s">
        <v>17</v>
      </c>
      <c r="H58" s="4">
        <v>900</v>
      </c>
      <c r="I58" s="5">
        <v>1</v>
      </c>
      <c r="K58" t="s">
        <v>27</v>
      </c>
    </row>
    <row r="59" spans="1:11" x14ac:dyDescent="0.3">
      <c r="A59">
        <v>1057</v>
      </c>
      <c r="B59" s="1">
        <v>46083</v>
      </c>
      <c r="C59" s="3">
        <v>0.79999999999999993</v>
      </c>
      <c r="D59" s="2">
        <f>tb_dados[[#This Row],[Data]]+tb_dados[[#This Row],[Hora]]</f>
        <v>46083.8</v>
      </c>
      <c r="E59" t="s">
        <v>11</v>
      </c>
      <c r="F59" t="s">
        <v>13</v>
      </c>
      <c r="G59" t="s">
        <v>18</v>
      </c>
      <c r="H59" s="4">
        <v>120</v>
      </c>
      <c r="I59" s="5">
        <v>3</v>
      </c>
      <c r="K59" t="s">
        <v>28</v>
      </c>
    </row>
    <row r="60" spans="1:11" x14ac:dyDescent="0.3">
      <c r="A60">
        <v>1058</v>
      </c>
      <c r="B60" s="1">
        <v>46101</v>
      </c>
      <c r="C60" s="3">
        <v>0.4597222222222222</v>
      </c>
      <c r="D60" s="2">
        <f>tb_dados[[#This Row],[Data]]+tb_dados[[#This Row],[Hora]]</f>
        <v>46101.459722222222</v>
      </c>
      <c r="E60" t="s">
        <v>10</v>
      </c>
      <c r="F60" t="s">
        <v>13</v>
      </c>
      <c r="G60" t="s">
        <v>17</v>
      </c>
      <c r="H60" s="4">
        <v>900</v>
      </c>
      <c r="I60" s="5">
        <v>1</v>
      </c>
      <c r="K60" t="s">
        <v>26</v>
      </c>
    </row>
    <row r="61" spans="1:11" x14ac:dyDescent="0.3">
      <c r="A61">
        <v>1059</v>
      </c>
      <c r="B61" s="1">
        <v>46099</v>
      </c>
      <c r="C61" s="3">
        <v>0.59236111111111112</v>
      </c>
      <c r="D61" s="2">
        <f>tb_dados[[#This Row],[Data]]+tb_dados[[#This Row],[Hora]]</f>
        <v>46099.592361111114</v>
      </c>
      <c r="E61" t="s">
        <v>12</v>
      </c>
      <c r="F61" t="s">
        <v>16</v>
      </c>
      <c r="G61" t="s">
        <v>20</v>
      </c>
      <c r="H61" s="4">
        <v>420</v>
      </c>
      <c r="I61" s="5">
        <v>3</v>
      </c>
      <c r="K61" t="s">
        <v>28</v>
      </c>
    </row>
    <row r="62" spans="1:11" x14ac:dyDescent="0.3">
      <c r="A62">
        <v>1060</v>
      </c>
      <c r="B62" s="1">
        <v>46081</v>
      </c>
      <c r="C62" s="3">
        <v>0.83958333333333324</v>
      </c>
      <c r="D62" s="2">
        <f>tb_dados[[#This Row],[Data]]+tb_dados[[#This Row],[Hora]]</f>
        <v>46081.839583333334</v>
      </c>
      <c r="E62" t="s">
        <v>11</v>
      </c>
      <c r="F62" t="s">
        <v>13</v>
      </c>
      <c r="G62" t="s">
        <v>18</v>
      </c>
      <c r="H62" s="4">
        <v>120</v>
      </c>
      <c r="I62" s="5">
        <v>1</v>
      </c>
      <c r="K62" t="s">
        <v>27</v>
      </c>
    </row>
    <row r="63" spans="1:11" x14ac:dyDescent="0.3">
      <c r="A63">
        <v>1061</v>
      </c>
      <c r="B63" s="1">
        <v>46078</v>
      </c>
      <c r="C63" s="3">
        <v>0.47638888888888892</v>
      </c>
      <c r="D63" s="2">
        <f>tb_dados[[#This Row],[Data]]+tb_dados[[#This Row],[Hora]]</f>
        <v>46078.476388888892</v>
      </c>
      <c r="E63" t="s">
        <v>12</v>
      </c>
      <c r="F63" t="s">
        <v>15</v>
      </c>
      <c r="G63" t="s">
        <v>20</v>
      </c>
      <c r="H63" s="4">
        <v>420</v>
      </c>
      <c r="I63" s="5">
        <v>1</v>
      </c>
      <c r="K63" t="s">
        <v>27</v>
      </c>
    </row>
    <row r="64" spans="1:11" x14ac:dyDescent="0.3">
      <c r="A64">
        <v>1062</v>
      </c>
      <c r="B64" s="1">
        <v>46099</v>
      </c>
      <c r="C64" s="3">
        <v>0.44166666666666665</v>
      </c>
      <c r="D64" s="2">
        <f>tb_dados[[#This Row],[Data]]+tb_dados[[#This Row],[Hora]]</f>
        <v>46099.441666666666</v>
      </c>
      <c r="E64" t="s">
        <v>12</v>
      </c>
      <c r="F64" t="s">
        <v>13</v>
      </c>
      <c r="G64" t="s">
        <v>20</v>
      </c>
      <c r="H64" s="4">
        <v>420</v>
      </c>
      <c r="I64" s="5">
        <v>1</v>
      </c>
      <c r="K64" t="s">
        <v>25</v>
      </c>
    </row>
    <row r="65" spans="1:11" x14ac:dyDescent="0.3">
      <c r="A65">
        <v>1063</v>
      </c>
      <c r="B65" s="1">
        <v>46095</v>
      </c>
      <c r="C65" s="3">
        <v>0.59236111111111112</v>
      </c>
      <c r="D65" s="2">
        <f>tb_dados[[#This Row],[Data]]+tb_dados[[#This Row],[Hora]]</f>
        <v>46095.592361111114</v>
      </c>
      <c r="E65" t="s">
        <v>12</v>
      </c>
      <c r="F65" t="s">
        <v>14</v>
      </c>
      <c r="G65" t="s">
        <v>20</v>
      </c>
      <c r="H65" s="4">
        <v>420</v>
      </c>
      <c r="I65" s="5">
        <v>3</v>
      </c>
      <c r="K65" t="s">
        <v>27</v>
      </c>
    </row>
    <row r="66" spans="1:11" x14ac:dyDescent="0.3">
      <c r="A66">
        <v>1064</v>
      </c>
      <c r="B66" s="1">
        <v>46078</v>
      </c>
      <c r="C66" s="3">
        <v>0.76111111111111107</v>
      </c>
      <c r="D66" s="2">
        <f>tb_dados[[#This Row],[Data]]+tb_dados[[#This Row],[Hora]]</f>
        <v>46078.761111111111</v>
      </c>
      <c r="E66" t="s">
        <v>12</v>
      </c>
      <c r="F66" t="s">
        <v>13</v>
      </c>
      <c r="G66" t="s">
        <v>20</v>
      </c>
      <c r="H66" s="4">
        <v>420</v>
      </c>
      <c r="I66" s="5">
        <v>3</v>
      </c>
      <c r="K66" t="s">
        <v>27</v>
      </c>
    </row>
    <row r="67" spans="1:11" x14ac:dyDescent="0.3">
      <c r="A67">
        <v>1065</v>
      </c>
      <c r="B67" s="1">
        <v>46090</v>
      </c>
      <c r="C67" s="3">
        <v>0.74513888888888891</v>
      </c>
      <c r="D67" s="2">
        <f>tb_dados[[#This Row],[Data]]+tb_dados[[#This Row],[Hora]]</f>
        <v>46090.745138888888</v>
      </c>
      <c r="E67" t="s">
        <v>10</v>
      </c>
      <c r="F67" t="s">
        <v>15</v>
      </c>
      <c r="G67" t="s">
        <v>17</v>
      </c>
      <c r="H67" s="4">
        <v>900</v>
      </c>
      <c r="I67" s="5">
        <v>2</v>
      </c>
      <c r="K67" t="s">
        <v>28</v>
      </c>
    </row>
    <row r="68" spans="1:11" x14ac:dyDescent="0.3">
      <c r="A68">
        <v>1066</v>
      </c>
      <c r="B68" s="1">
        <v>46099</v>
      </c>
      <c r="C68" s="3">
        <v>0.45069444444444445</v>
      </c>
      <c r="D68" s="2">
        <f>tb_dados[[#This Row],[Data]]+tb_dados[[#This Row],[Hora]]</f>
        <v>46099.450694444444</v>
      </c>
      <c r="E68" t="s">
        <v>11</v>
      </c>
      <c r="F68" t="s">
        <v>14</v>
      </c>
      <c r="G68" t="s">
        <v>24</v>
      </c>
      <c r="H68" s="4">
        <v>280</v>
      </c>
      <c r="I68" s="5">
        <v>2</v>
      </c>
      <c r="K68" t="s">
        <v>27</v>
      </c>
    </row>
    <row r="69" spans="1:11" x14ac:dyDescent="0.3">
      <c r="A69">
        <v>1067</v>
      </c>
      <c r="B69" s="1">
        <v>46101</v>
      </c>
      <c r="C69" s="3">
        <v>0.70763888888888893</v>
      </c>
      <c r="D69" s="2">
        <f>tb_dados[[#This Row],[Data]]+tb_dados[[#This Row],[Hora]]</f>
        <v>46101.707638888889</v>
      </c>
      <c r="E69" t="s">
        <v>10</v>
      </c>
      <c r="F69" t="s">
        <v>14</v>
      </c>
      <c r="G69" t="s">
        <v>22</v>
      </c>
      <c r="H69" s="4">
        <v>2100</v>
      </c>
      <c r="I69" s="5">
        <v>3</v>
      </c>
      <c r="K69" t="s">
        <v>27</v>
      </c>
    </row>
    <row r="70" spans="1:11" x14ac:dyDescent="0.3">
      <c r="A70">
        <v>1068</v>
      </c>
      <c r="B70" s="1">
        <v>46100</v>
      </c>
      <c r="C70" s="3">
        <v>0.37013888888888885</v>
      </c>
      <c r="D70" s="2">
        <f>tb_dados[[#This Row],[Data]]+tb_dados[[#This Row],[Hora]]</f>
        <v>46100.370138888888</v>
      </c>
      <c r="E70" t="s">
        <v>10</v>
      </c>
      <c r="F70" t="s">
        <v>15</v>
      </c>
      <c r="G70" t="s">
        <v>23</v>
      </c>
      <c r="H70" s="4">
        <v>4500</v>
      </c>
      <c r="I70" s="5">
        <v>1</v>
      </c>
      <c r="K70" t="s">
        <v>27</v>
      </c>
    </row>
    <row r="71" spans="1:11" x14ac:dyDescent="0.3">
      <c r="A71">
        <v>1069</v>
      </c>
      <c r="B71" s="1">
        <v>46083</v>
      </c>
      <c r="C71" s="3">
        <v>0.79583333333333339</v>
      </c>
      <c r="D71" s="2">
        <f>tb_dados[[#This Row],[Data]]+tb_dados[[#This Row],[Hora]]</f>
        <v>46083.79583333333</v>
      </c>
      <c r="E71" t="s">
        <v>11</v>
      </c>
      <c r="F71" t="s">
        <v>13</v>
      </c>
      <c r="G71" t="s">
        <v>24</v>
      </c>
      <c r="H71" s="4">
        <v>280</v>
      </c>
      <c r="I71" s="5">
        <v>3</v>
      </c>
      <c r="K71" t="s">
        <v>27</v>
      </c>
    </row>
    <row r="72" spans="1:11" x14ac:dyDescent="0.3">
      <c r="A72">
        <v>1070</v>
      </c>
      <c r="B72" s="1">
        <v>46099</v>
      </c>
      <c r="C72" s="3">
        <v>0.45416666666666666</v>
      </c>
      <c r="D72" s="2">
        <f>tb_dados[[#This Row],[Data]]+tb_dados[[#This Row],[Hora]]</f>
        <v>46099.45416666667</v>
      </c>
      <c r="E72" t="s">
        <v>12</v>
      </c>
      <c r="F72" t="s">
        <v>14</v>
      </c>
      <c r="G72" t="s">
        <v>20</v>
      </c>
      <c r="H72" s="4">
        <v>420</v>
      </c>
      <c r="I72" s="5">
        <v>3</v>
      </c>
      <c r="K72" t="s">
        <v>25</v>
      </c>
    </row>
    <row r="73" spans="1:11" x14ac:dyDescent="0.3">
      <c r="A73">
        <v>1071</v>
      </c>
      <c r="B73" s="1">
        <v>46083</v>
      </c>
      <c r="C73" s="3">
        <v>0.74861111111111101</v>
      </c>
      <c r="D73" s="2">
        <f>tb_dados[[#This Row],[Data]]+tb_dados[[#This Row],[Hora]]</f>
        <v>46083.748611111114</v>
      </c>
      <c r="E73" t="s">
        <v>10</v>
      </c>
      <c r="F73" t="s">
        <v>14</v>
      </c>
      <c r="G73" t="s">
        <v>17</v>
      </c>
      <c r="H73" s="4">
        <v>900</v>
      </c>
      <c r="I73" s="5">
        <v>2</v>
      </c>
      <c r="K73" t="s">
        <v>28</v>
      </c>
    </row>
    <row r="74" spans="1:11" x14ac:dyDescent="0.3">
      <c r="A74">
        <v>1072</v>
      </c>
      <c r="B74" s="1">
        <v>46103</v>
      </c>
      <c r="C74" s="3">
        <v>0.8534722222222223</v>
      </c>
      <c r="D74" s="2">
        <f>tb_dados[[#This Row],[Data]]+tb_dados[[#This Row],[Hora]]</f>
        <v>46103.853472222225</v>
      </c>
      <c r="E74" t="s">
        <v>10</v>
      </c>
      <c r="F74" t="s">
        <v>14</v>
      </c>
      <c r="G74" t="s">
        <v>17</v>
      </c>
      <c r="H74" s="4">
        <v>900</v>
      </c>
      <c r="I74" s="5">
        <v>2</v>
      </c>
      <c r="K74" t="s">
        <v>25</v>
      </c>
    </row>
    <row r="75" spans="1:11" x14ac:dyDescent="0.3">
      <c r="A75">
        <v>1073</v>
      </c>
      <c r="B75" s="1">
        <v>46081</v>
      </c>
      <c r="C75" s="3">
        <v>0.60277777777777775</v>
      </c>
      <c r="D75" s="2">
        <f>tb_dados[[#This Row],[Data]]+tb_dados[[#This Row],[Hora]]</f>
        <v>46081.602777777778</v>
      </c>
      <c r="E75" t="s">
        <v>12</v>
      </c>
      <c r="F75" t="s">
        <v>13</v>
      </c>
      <c r="G75" t="s">
        <v>20</v>
      </c>
      <c r="H75" s="4">
        <v>420</v>
      </c>
      <c r="I75" s="5">
        <v>1</v>
      </c>
      <c r="K75" t="s">
        <v>25</v>
      </c>
    </row>
    <row r="76" spans="1:11" x14ac:dyDescent="0.3">
      <c r="A76">
        <v>1074</v>
      </c>
      <c r="B76" s="1">
        <v>46090</v>
      </c>
      <c r="C76" s="3">
        <v>0.70624999999999993</v>
      </c>
      <c r="D76" s="2">
        <f>tb_dados[[#This Row],[Data]]+tb_dados[[#This Row],[Hora]]</f>
        <v>46090.706250000003</v>
      </c>
      <c r="E76" t="s">
        <v>12</v>
      </c>
      <c r="F76" t="s">
        <v>15</v>
      </c>
      <c r="G76" t="s">
        <v>20</v>
      </c>
      <c r="H76" s="4">
        <v>420</v>
      </c>
      <c r="I76" s="5">
        <v>1</v>
      </c>
      <c r="K76" t="s">
        <v>26</v>
      </c>
    </row>
    <row r="77" spans="1:11" x14ac:dyDescent="0.3">
      <c r="A77">
        <v>1075</v>
      </c>
      <c r="B77" s="1">
        <v>46100</v>
      </c>
      <c r="C77" s="3">
        <v>0.6875</v>
      </c>
      <c r="D77" s="2">
        <f>tb_dados[[#This Row],[Data]]+tb_dados[[#This Row],[Hora]]</f>
        <v>46100.6875</v>
      </c>
      <c r="E77" t="s">
        <v>10</v>
      </c>
      <c r="F77" t="s">
        <v>15</v>
      </c>
      <c r="G77" t="s">
        <v>23</v>
      </c>
      <c r="H77" s="4">
        <v>4500</v>
      </c>
      <c r="I77" s="5">
        <v>2</v>
      </c>
      <c r="K77" t="s">
        <v>25</v>
      </c>
    </row>
    <row r="78" spans="1:11" x14ac:dyDescent="0.3">
      <c r="A78">
        <v>1076</v>
      </c>
      <c r="B78" s="1">
        <v>46105</v>
      </c>
      <c r="C78" s="3">
        <v>0.51527777777777783</v>
      </c>
      <c r="D78" s="2">
        <f>tb_dados[[#This Row],[Data]]+tb_dados[[#This Row],[Hora]]</f>
        <v>46105.515277777777</v>
      </c>
      <c r="E78" t="s">
        <v>10</v>
      </c>
      <c r="F78" t="s">
        <v>14</v>
      </c>
      <c r="G78" t="s">
        <v>23</v>
      </c>
      <c r="H78" s="4">
        <v>4500</v>
      </c>
      <c r="I78" s="5">
        <v>1</v>
      </c>
      <c r="K78" t="s">
        <v>26</v>
      </c>
    </row>
    <row r="79" spans="1:11" x14ac:dyDescent="0.3">
      <c r="A79">
        <v>1077</v>
      </c>
      <c r="B79" s="1">
        <v>46107</v>
      </c>
      <c r="C79" s="3">
        <v>0.64027777777777783</v>
      </c>
      <c r="D79" s="2">
        <f>tb_dados[[#This Row],[Data]]+tb_dados[[#This Row],[Hora]]</f>
        <v>46107.640277777777</v>
      </c>
      <c r="E79" t="s">
        <v>12</v>
      </c>
      <c r="F79" t="s">
        <v>15</v>
      </c>
      <c r="G79" t="s">
        <v>19</v>
      </c>
      <c r="H79" s="4">
        <v>850</v>
      </c>
      <c r="I79" s="5">
        <v>2</v>
      </c>
      <c r="K79" t="s">
        <v>26</v>
      </c>
    </row>
    <row r="80" spans="1:11" x14ac:dyDescent="0.3">
      <c r="A80">
        <v>1078</v>
      </c>
      <c r="B80" s="1">
        <v>46106</v>
      </c>
      <c r="C80" s="3">
        <v>0.79722222222222217</v>
      </c>
      <c r="D80" s="2">
        <f>tb_dados[[#This Row],[Data]]+tb_dados[[#This Row],[Hora]]</f>
        <v>46106.797222222223</v>
      </c>
      <c r="E80" t="s">
        <v>11</v>
      </c>
      <c r="F80" t="s">
        <v>13</v>
      </c>
      <c r="G80" t="s">
        <v>18</v>
      </c>
      <c r="H80" s="4">
        <v>120</v>
      </c>
      <c r="I80" s="5">
        <v>1</v>
      </c>
      <c r="K80" t="s">
        <v>26</v>
      </c>
    </row>
    <row r="81" spans="1:11" x14ac:dyDescent="0.3">
      <c r="A81">
        <v>1079</v>
      </c>
      <c r="B81" s="1">
        <v>46104</v>
      </c>
      <c r="C81" s="3">
        <v>0.61875000000000002</v>
      </c>
      <c r="D81" s="2">
        <f>tb_dados[[#This Row],[Data]]+tb_dados[[#This Row],[Hora]]</f>
        <v>46104.618750000001</v>
      </c>
      <c r="E81" t="s">
        <v>12</v>
      </c>
      <c r="F81" t="s">
        <v>15</v>
      </c>
      <c r="G81" t="s">
        <v>19</v>
      </c>
      <c r="H81" s="4">
        <v>850</v>
      </c>
      <c r="I81" s="5">
        <v>2</v>
      </c>
      <c r="K81" t="s">
        <v>26</v>
      </c>
    </row>
    <row r="82" spans="1:11" x14ac:dyDescent="0.3">
      <c r="A82">
        <v>1080</v>
      </c>
      <c r="B82" s="1">
        <v>46082</v>
      </c>
      <c r="C82" s="3">
        <v>0.43611111111111112</v>
      </c>
      <c r="D82" s="2">
        <f>tb_dados[[#This Row],[Data]]+tb_dados[[#This Row],[Hora]]</f>
        <v>46082.436111111114</v>
      </c>
      <c r="E82" t="s">
        <v>12</v>
      </c>
      <c r="F82" t="s">
        <v>15</v>
      </c>
      <c r="G82" t="s">
        <v>20</v>
      </c>
      <c r="H82" s="4">
        <v>420</v>
      </c>
      <c r="I82" s="5">
        <v>3</v>
      </c>
      <c r="K82" t="s">
        <v>25</v>
      </c>
    </row>
    <row r="83" spans="1:11" x14ac:dyDescent="0.3">
      <c r="A83">
        <v>1081</v>
      </c>
      <c r="B83" s="1">
        <v>46080</v>
      </c>
      <c r="C83" s="3">
        <v>0.40972222222222227</v>
      </c>
      <c r="D83" s="2">
        <f>tb_dados[[#This Row],[Data]]+tb_dados[[#This Row],[Hora]]</f>
        <v>46080.409722222219</v>
      </c>
      <c r="E83" t="s">
        <v>10</v>
      </c>
      <c r="F83" t="s">
        <v>16</v>
      </c>
      <c r="G83" t="s">
        <v>22</v>
      </c>
      <c r="H83" s="4">
        <v>2100</v>
      </c>
      <c r="I83" s="5">
        <v>1</v>
      </c>
      <c r="K83" t="s">
        <v>26</v>
      </c>
    </row>
    <row r="84" spans="1:11" x14ac:dyDescent="0.3">
      <c r="A84">
        <v>1082</v>
      </c>
      <c r="B84" s="1">
        <v>46092</v>
      </c>
      <c r="C84" s="3">
        <v>0.67361111111111116</v>
      </c>
      <c r="D84" s="2">
        <f>tb_dados[[#This Row],[Data]]+tb_dados[[#This Row],[Hora]]</f>
        <v>46092.673611111109</v>
      </c>
      <c r="E84" t="s">
        <v>10</v>
      </c>
      <c r="F84" t="s">
        <v>14</v>
      </c>
      <c r="G84" t="s">
        <v>23</v>
      </c>
      <c r="H84" s="4">
        <v>4500</v>
      </c>
      <c r="I84" s="5">
        <v>2</v>
      </c>
      <c r="K84" t="s">
        <v>27</v>
      </c>
    </row>
    <row r="85" spans="1:11" x14ac:dyDescent="0.3">
      <c r="A85">
        <v>1083</v>
      </c>
      <c r="B85" s="1">
        <v>46080</v>
      </c>
      <c r="C85" s="3">
        <v>0.52916666666666667</v>
      </c>
      <c r="D85" s="2">
        <f>tb_dados[[#This Row],[Data]]+tb_dados[[#This Row],[Hora]]</f>
        <v>46080.529166666667</v>
      </c>
      <c r="E85" t="s">
        <v>12</v>
      </c>
      <c r="F85" t="s">
        <v>13</v>
      </c>
      <c r="G85" t="s">
        <v>20</v>
      </c>
      <c r="H85" s="4">
        <v>420</v>
      </c>
      <c r="I85" s="5">
        <v>2</v>
      </c>
      <c r="K85" t="s">
        <v>28</v>
      </c>
    </row>
    <row r="86" spans="1:11" x14ac:dyDescent="0.3">
      <c r="A86">
        <v>1084</v>
      </c>
      <c r="B86" s="1">
        <v>46080</v>
      </c>
      <c r="C86" s="3">
        <v>0.3840277777777778</v>
      </c>
      <c r="D86" s="2">
        <f>tb_dados[[#This Row],[Data]]+tb_dados[[#This Row],[Hora]]</f>
        <v>46080.384027777778</v>
      </c>
      <c r="E86" t="s">
        <v>10</v>
      </c>
      <c r="F86" t="s">
        <v>13</v>
      </c>
      <c r="G86" t="s">
        <v>23</v>
      </c>
      <c r="H86" s="4">
        <v>4500</v>
      </c>
      <c r="I86" s="5">
        <v>3</v>
      </c>
      <c r="K86" t="s">
        <v>27</v>
      </c>
    </row>
    <row r="87" spans="1:11" x14ac:dyDescent="0.3">
      <c r="A87">
        <v>1085</v>
      </c>
      <c r="B87" s="1">
        <v>46097</v>
      </c>
      <c r="C87" s="3">
        <v>0.67847222222222225</v>
      </c>
      <c r="D87" s="2">
        <f>tb_dados[[#This Row],[Data]]+tb_dados[[#This Row],[Hora]]</f>
        <v>46097.678472222222</v>
      </c>
      <c r="E87" t="s">
        <v>11</v>
      </c>
      <c r="F87" t="s">
        <v>15</v>
      </c>
      <c r="G87" t="s">
        <v>24</v>
      </c>
      <c r="H87" s="4">
        <v>280</v>
      </c>
      <c r="I87" s="5">
        <v>3</v>
      </c>
      <c r="K87" t="s">
        <v>28</v>
      </c>
    </row>
    <row r="88" spans="1:11" x14ac:dyDescent="0.3">
      <c r="A88">
        <v>1086</v>
      </c>
      <c r="B88" s="1">
        <v>46093</v>
      </c>
      <c r="C88" s="3">
        <v>0.89861111111111114</v>
      </c>
      <c r="D88" s="2">
        <f>tb_dados[[#This Row],[Data]]+tb_dados[[#This Row],[Hora]]</f>
        <v>46093.898611111108</v>
      </c>
      <c r="E88" t="s">
        <v>12</v>
      </c>
      <c r="F88" t="s">
        <v>15</v>
      </c>
      <c r="G88" t="s">
        <v>19</v>
      </c>
      <c r="H88" s="4">
        <v>850</v>
      </c>
      <c r="I88" s="5">
        <v>2</v>
      </c>
      <c r="K88" t="s">
        <v>27</v>
      </c>
    </row>
    <row r="89" spans="1:11" x14ac:dyDescent="0.3">
      <c r="A89">
        <v>1087</v>
      </c>
      <c r="B89" s="1">
        <v>46101</v>
      </c>
      <c r="C89" s="3">
        <v>0.46527777777777773</v>
      </c>
      <c r="D89" s="2">
        <f>tb_dados[[#This Row],[Data]]+tb_dados[[#This Row],[Hora]]</f>
        <v>46101.465277777781</v>
      </c>
      <c r="E89" t="s">
        <v>10</v>
      </c>
      <c r="F89" t="s">
        <v>14</v>
      </c>
      <c r="G89" t="s">
        <v>23</v>
      </c>
      <c r="H89" s="4">
        <v>4500</v>
      </c>
      <c r="I89" s="5">
        <v>1</v>
      </c>
      <c r="K89" t="s">
        <v>28</v>
      </c>
    </row>
    <row r="90" spans="1:11" x14ac:dyDescent="0.3">
      <c r="A90">
        <v>1088</v>
      </c>
      <c r="B90" s="1">
        <v>46093</v>
      </c>
      <c r="C90" s="3">
        <v>0.58263888888888882</v>
      </c>
      <c r="D90" s="2">
        <f>tb_dados[[#This Row],[Data]]+tb_dados[[#This Row],[Hora]]</f>
        <v>46093.582638888889</v>
      </c>
      <c r="E90" t="s">
        <v>12</v>
      </c>
      <c r="F90" t="s">
        <v>16</v>
      </c>
      <c r="G90" t="s">
        <v>19</v>
      </c>
      <c r="H90" s="4">
        <v>850</v>
      </c>
      <c r="I90" s="5">
        <v>1</v>
      </c>
      <c r="K90" t="s">
        <v>27</v>
      </c>
    </row>
    <row r="91" spans="1:11" x14ac:dyDescent="0.3">
      <c r="A91">
        <v>1089</v>
      </c>
      <c r="B91" s="1">
        <v>46096</v>
      </c>
      <c r="C91" s="3">
        <v>0.72916666666666663</v>
      </c>
      <c r="D91" s="2">
        <f>tb_dados[[#This Row],[Data]]+tb_dados[[#This Row],[Hora]]</f>
        <v>46096.729166666664</v>
      </c>
      <c r="E91" t="s">
        <v>11</v>
      </c>
      <c r="F91" t="s">
        <v>16</v>
      </c>
      <c r="G91" t="s">
        <v>24</v>
      </c>
      <c r="H91" s="4">
        <v>280</v>
      </c>
      <c r="I91" s="5">
        <v>2</v>
      </c>
      <c r="K91" t="s">
        <v>28</v>
      </c>
    </row>
    <row r="92" spans="1:11" x14ac:dyDescent="0.3">
      <c r="A92">
        <v>1090</v>
      </c>
      <c r="B92" s="1">
        <v>46079</v>
      </c>
      <c r="C92" s="3">
        <v>0.47638888888888892</v>
      </c>
      <c r="D92" s="2">
        <f>tb_dados[[#This Row],[Data]]+tb_dados[[#This Row],[Hora]]</f>
        <v>46079.476388888892</v>
      </c>
      <c r="E92" t="s">
        <v>12</v>
      </c>
      <c r="F92" t="s">
        <v>13</v>
      </c>
      <c r="G92" t="s">
        <v>20</v>
      </c>
      <c r="H92" s="4">
        <v>420</v>
      </c>
      <c r="I92" s="5">
        <v>2</v>
      </c>
      <c r="K92" t="s">
        <v>25</v>
      </c>
    </row>
    <row r="93" spans="1:11" x14ac:dyDescent="0.3">
      <c r="A93">
        <v>1091</v>
      </c>
      <c r="B93" s="1">
        <v>46088</v>
      </c>
      <c r="C93" s="3">
        <v>0.49652777777777773</v>
      </c>
      <c r="D93" s="2">
        <f>tb_dados[[#This Row],[Data]]+tb_dados[[#This Row],[Hora]]</f>
        <v>46088.496527777781</v>
      </c>
      <c r="E93" t="s">
        <v>11</v>
      </c>
      <c r="F93" t="s">
        <v>13</v>
      </c>
      <c r="G93" t="s">
        <v>24</v>
      </c>
      <c r="H93" s="4">
        <v>280</v>
      </c>
      <c r="I93" s="5">
        <v>3</v>
      </c>
      <c r="K93" t="s">
        <v>26</v>
      </c>
    </row>
    <row r="94" spans="1:11" x14ac:dyDescent="0.3">
      <c r="A94">
        <v>1092</v>
      </c>
      <c r="B94" s="1">
        <v>46099</v>
      </c>
      <c r="C94" s="3">
        <v>0.82986111111111116</v>
      </c>
      <c r="D94" s="2">
        <f>tb_dados[[#This Row],[Data]]+tb_dados[[#This Row],[Hora]]</f>
        <v>46099.829861111109</v>
      </c>
      <c r="E94" t="s">
        <v>10</v>
      </c>
      <c r="F94" t="s">
        <v>13</v>
      </c>
      <c r="G94" t="s">
        <v>22</v>
      </c>
      <c r="H94" s="4">
        <v>2100</v>
      </c>
      <c r="I94" s="5">
        <v>2</v>
      </c>
      <c r="K94" t="s">
        <v>26</v>
      </c>
    </row>
    <row r="95" spans="1:11" x14ac:dyDescent="0.3">
      <c r="A95">
        <v>1093</v>
      </c>
      <c r="B95" s="1">
        <v>46098</v>
      </c>
      <c r="C95" s="3">
        <v>0.82777777777777783</v>
      </c>
      <c r="D95" s="2">
        <f>tb_dados[[#This Row],[Data]]+tb_dados[[#This Row],[Hora]]</f>
        <v>46098.827777777777</v>
      </c>
      <c r="E95" t="s">
        <v>12</v>
      </c>
      <c r="F95" t="s">
        <v>16</v>
      </c>
      <c r="G95" t="s">
        <v>19</v>
      </c>
      <c r="H95" s="4">
        <v>850</v>
      </c>
      <c r="I95" s="5">
        <v>1</v>
      </c>
      <c r="K95" t="s">
        <v>26</v>
      </c>
    </row>
    <row r="96" spans="1:11" x14ac:dyDescent="0.3">
      <c r="A96">
        <v>1094</v>
      </c>
      <c r="B96" s="1">
        <v>46079</v>
      </c>
      <c r="C96" s="3">
        <v>0.7944444444444444</v>
      </c>
      <c r="D96" s="2">
        <f>tb_dados[[#This Row],[Data]]+tb_dados[[#This Row],[Hora]]</f>
        <v>46079.794444444444</v>
      </c>
      <c r="E96" t="s">
        <v>10</v>
      </c>
      <c r="F96" t="s">
        <v>14</v>
      </c>
      <c r="G96" t="s">
        <v>23</v>
      </c>
      <c r="H96" s="4">
        <v>4500</v>
      </c>
      <c r="I96" s="5">
        <v>2</v>
      </c>
      <c r="K96" t="s">
        <v>26</v>
      </c>
    </row>
    <row r="97" spans="1:11" x14ac:dyDescent="0.3">
      <c r="A97">
        <v>1095</v>
      </c>
      <c r="B97" s="1">
        <v>46089</v>
      </c>
      <c r="C97" s="3">
        <v>0.49652777777777773</v>
      </c>
      <c r="D97" s="2">
        <f>tb_dados[[#This Row],[Data]]+tb_dados[[#This Row],[Hora]]</f>
        <v>46089.496527777781</v>
      </c>
      <c r="E97" t="s">
        <v>12</v>
      </c>
      <c r="F97" t="s">
        <v>15</v>
      </c>
      <c r="G97" t="s">
        <v>20</v>
      </c>
      <c r="H97" s="4">
        <v>420</v>
      </c>
      <c r="I97" s="5">
        <v>2</v>
      </c>
      <c r="K97" t="s">
        <v>25</v>
      </c>
    </row>
    <row r="98" spans="1:11" x14ac:dyDescent="0.3">
      <c r="A98">
        <v>1096</v>
      </c>
      <c r="B98" s="1">
        <v>46094</v>
      </c>
      <c r="C98" s="3">
        <v>0.36458333333333331</v>
      </c>
      <c r="D98" s="2">
        <f>tb_dados[[#This Row],[Data]]+tb_dados[[#This Row],[Hora]]</f>
        <v>46094.364583333336</v>
      </c>
      <c r="E98" t="s">
        <v>11</v>
      </c>
      <c r="F98" t="s">
        <v>13</v>
      </c>
      <c r="G98" t="s">
        <v>24</v>
      </c>
      <c r="H98" s="4">
        <v>280</v>
      </c>
      <c r="I98" s="5">
        <v>3</v>
      </c>
      <c r="K98" t="s">
        <v>28</v>
      </c>
    </row>
    <row r="99" spans="1:11" x14ac:dyDescent="0.3">
      <c r="A99">
        <v>1097</v>
      </c>
      <c r="B99" s="1">
        <v>46098</v>
      </c>
      <c r="C99" s="3">
        <v>0.61458333333333337</v>
      </c>
      <c r="D99" s="2">
        <f>tb_dados[[#This Row],[Data]]+tb_dados[[#This Row],[Hora]]</f>
        <v>46098.614583333336</v>
      </c>
      <c r="E99" t="s">
        <v>11</v>
      </c>
      <c r="F99" t="s">
        <v>13</v>
      </c>
      <c r="G99" t="s">
        <v>24</v>
      </c>
      <c r="H99" s="4">
        <v>280</v>
      </c>
      <c r="I99" s="5">
        <v>1</v>
      </c>
      <c r="K99" t="s">
        <v>27</v>
      </c>
    </row>
    <row r="100" spans="1:11" x14ac:dyDescent="0.3">
      <c r="A100">
        <v>1098</v>
      </c>
      <c r="B100" s="1">
        <v>46105</v>
      </c>
      <c r="C100" s="3">
        <v>0.73611111111111116</v>
      </c>
      <c r="D100" s="2">
        <f>tb_dados[[#This Row],[Data]]+tb_dados[[#This Row],[Hora]]</f>
        <v>46105.736111111109</v>
      </c>
      <c r="E100" t="s">
        <v>12</v>
      </c>
      <c r="F100" t="s">
        <v>14</v>
      </c>
      <c r="G100" t="s">
        <v>19</v>
      </c>
      <c r="H100" s="4">
        <v>850</v>
      </c>
      <c r="I100" s="5">
        <v>2</v>
      </c>
      <c r="K100" t="s">
        <v>25</v>
      </c>
    </row>
    <row r="101" spans="1:11" x14ac:dyDescent="0.3">
      <c r="A101">
        <v>1099</v>
      </c>
      <c r="B101" s="1">
        <v>46101</v>
      </c>
      <c r="C101" s="3">
        <v>0.52916666666666667</v>
      </c>
      <c r="D101" s="2">
        <f>tb_dados[[#This Row],[Data]]+tb_dados[[#This Row],[Hora]]</f>
        <v>46101.529166666667</v>
      </c>
      <c r="E101" t="s">
        <v>11</v>
      </c>
      <c r="F101" t="s">
        <v>13</v>
      </c>
      <c r="G101" t="s">
        <v>24</v>
      </c>
      <c r="H101" s="4">
        <v>280</v>
      </c>
      <c r="I101" s="5">
        <v>3</v>
      </c>
      <c r="K101" t="s">
        <v>28</v>
      </c>
    </row>
    <row r="102" spans="1:11" x14ac:dyDescent="0.3">
      <c r="A102">
        <v>1100</v>
      </c>
      <c r="B102" s="1">
        <v>46087</v>
      </c>
      <c r="C102" s="3">
        <v>0.95486111111111116</v>
      </c>
      <c r="D102" s="2">
        <f>tb_dados[[#This Row],[Data]]+tb_dados[[#This Row],[Hora]]</f>
        <v>46087.954861111109</v>
      </c>
      <c r="E102" t="s">
        <v>10</v>
      </c>
      <c r="F102" t="s">
        <v>13</v>
      </c>
      <c r="G102" t="s">
        <v>23</v>
      </c>
      <c r="H102" s="4">
        <v>4500</v>
      </c>
      <c r="I102" s="5">
        <v>3</v>
      </c>
      <c r="K102" t="s">
        <v>25</v>
      </c>
    </row>
    <row r="103" spans="1:11" x14ac:dyDescent="0.3">
      <c r="A103">
        <v>1101</v>
      </c>
      <c r="B103" s="1">
        <v>46092</v>
      </c>
      <c r="C103" s="3">
        <v>0.75</v>
      </c>
      <c r="D103" s="2">
        <f>tb_dados[[#This Row],[Data]]+tb_dados[[#This Row],[Hora]]</f>
        <v>46092.75</v>
      </c>
      <c r="E103" t="s">
        <v>10</v>
      </c>
      <c r="F103" t="s">
        <v>14</v>
      </c>
      <c r="G103" t="s">
        <v>23</v>
      </c>
      <c r="H103" s="4">
        <v>4500</v>
      </c>
      <c r="I103" s="5">
        <v>3</v>
      </c>
      <c r="K103" t="s">
        <v>27</v>
      </c>
    </row>
    <row r="104" spans="1:11" x14ac:dyDescent="0.3">
      <c r="A104">
        <v>1102</v>
      </c>
      <c r="B104" s="1">
        <v>46103</v>
      </c>
      <c r="C104" s="3">
        <v>0.39027777777777778</v>
      </c>
      <c r="D104" s="2">
        <f>tb_dados[[#This Row],[Data]]+tb_dados[[#This Row],[Hora]]</f>
        <v>46103.390277777777</v>
      </c>
      <c r="E104" t="s">
        <v>10</v>
      </c>
      <c r="F104" t="s">
        <v>15</v>
      </c>
      <c r="G104" t="s">
        <v>22</v>
      </c>
      <c r="H104" s="4">
        <v>2100</v>
      </c>
      <c r="I104" s="5">
        <v>2</v>
      </c>
      <c r="K104" t="s">
        <v>25</v>
      </c>
    </row>
    <row r="105" spans="1:11" x14ac:dyDescent="0.3">
      <c r="A105">
        <v>1103</v>
      </c>
      <c r="B105" s="1">
        <v>46095</v>
      </c>
      <c r="C105" s="3">
        <v>0.50069444444444444</v>
      </c>
      <c r="D105" s="2">
        <f>tb_dados[[#This Row],[Data]]+tb_dados[[#This Row],[Hora]]</f>
        <v>46095.500694444447</v>
      </c>
      <c r="E105" t="s">
        <v>12</v>
      </c>
      <c r="F105" t="s">
        <v>14</v>
      </c>
      <c r="G105" t="s">
        <v>19</v>
      </c>
      <c r="H105" s="4">
        <v>850</v>
      </c>
      <c r="I105" s="5">
        <v>3</v>
      </c>
      <c r="K105" t="s">
        <v>25</v>
      </c>
    </row>
    <row r="106" spans="1:11" x14ac:dyDescent="0.3">
      <c r="A106">
        <v>1104</v>
      </c>
      <c r="B106" s="1">
        <v>46087</v>
      </c>
      <c r="C106" s="3">
        <v>0.89166666666666661</v>
      </c>
      <c r="D106" s="2">
        <f>tb_dados[[#This Row],[Data]]+tb_dados[[#This Row],[Hora]]</f>
        <v>46087.89166666667</v>
      </c>
      <c r="E106" t="s">
        <v>10</v>
      </c>
      <c r="F106" t="s">
        <v>15</v>
      </c>
      <c r="G106" t="s">
        <v>23</v>
      </c>
      <c r="H106" s="4">
        <v>4500</v>
      </c>
      <c r="I106" s="5">
        <v>2</v>
      </c>
      <c r="K106" t="s">
        <v>25</v>
      </c>
    </row>
    <row r="107" spans="1:11" x14ac:dyDescent="0.3">
      <c r="A107">
        <v>1105</v>
      </c>
      <c r="B107" s="1">
        <v>46079</v>
      </c>
      <c r="C107" s="3">
        <v>0.87708333333333333</v>
      </c>
      <c r="D107" s="2">
        <f>tb_dados[[#This Row],[Data]]+tb_dados[[#This Row],[Hora]]</f>
        <v>46079.877083333333</v>
      </c>
      <c r="E107" t="s">
        <v>12</v>
      </c>
      <c r="F107" t="s">
        <v>15</v>
      </c>
      <c r="G107" t="s">
        <v>19</v>
      </c>
      <c r="H107" s="4">
        <v>850</v>
      </c>
      <c r="I107" s="5">
        <v>1</v>
      </c>
      <c r="K107" t="s">
        <v>28</v>
      </c>
    </row>
    <row r="108" spans="1:11" x14ac:dyDescent="0.3">
      <c r="A108">
        <v>1106</v>
      </c>
      <c r="B108" s="1">
        <v>46095</v>
      </c>
      <c r="C108" s="3">
        <v>0.56805555555555554</v>
      </c>
      <c r="D108" s="2">
        <f>tb_dados[[#This Row],[Data]]+tb_dados[[#This Row],[Hora]]</f>
        <v>46095.568055555559</v>
      </c>
      <c r="E108" t="s">
        <v>12</v>
      </c>
      <c r="F108" t="s">
        <v>16</v>
      </c>
      <c r="G108" t="s">
        <v>19</v>
      </c>
      <c r="H108" s="4">
        <v>850</v>
      </c>
      <c r="I108" s="5">
        <v>1</v>
      </c>
      <c r="K108" t="s">
        <v>26</v>
      </c>
    </row>
    <row r="109" spans="1:11" x14ac:dyDescent="0.3">
      <c r="A109">
        <v>1107</v>
      </c>
      <c r="B109" s="1">
        <v>46086</v>
      </c>
      <c r="C109" s="3">
        <v>0.8930555555555556</v>
      </c>
      <c r="D109" s="2">
        <f>tb_dados[[#This Row],[Data]]+tb_dados[[#This Row],[Hora]]</f>
        <v>46086.893055555556</v>
      </c>
      <c r="E109" t="s">
        <v>11</v>
      </c>
      <c r="F109" t="s">
        <v>14</v>
      </c>
      <c r="G109" t="s">
        <v>24</v>
      </c>
      <c r="H109" s="4">
        <v>280</v>
      </c>
      <c r="I109" s="5">
        <v>3</v>
      </c>
      <c r="K109" t="s">
        <v>28</v>
      </c>
    </row>
    <row r="110" spans="1:11" x14ac:dyDescent="0.3">
      <c r="A110">
        <v>1108</v>
      </c>
      <c r="B110" s="1">
        <v>46088</v>
      </c>
      <c r="C110" s="3">
        <v>0.35486111111111113</v>
      </c>
      <c r="D110" s="2">
        <f>tb_dados[[#This Row],[Data]]+tb_dados[[#This Row],[Hora]]</f>
        <v>46088.354861111111</v>
      </c>
      <c r="E110" t="s">
        <v>11</v>
      </c>
      <c r="F110" t="s">
        <v>15</v>
      </c>
      <c r="G110" t="s">
        <v>18</v>
      </c>
      <c r="H110" s="4">
        <v>120</v>
      </c>
      <c r="I110" s="5">
        <v>1</v>
      </c>
      <c r="K110" t="s">
        <v>26</v>
      </c>
    </row>
    <row r="111" spans="1:11" x14ac:dyDescent="0.3">
      <c r="A111">
        <v>1109</v>
      </c>
      <c r="B111" s="1">
        <v>46095</v>
      </c>
      <c r="C111" s="3">
        <v>0.9375</v>
      </c>
      <c r="D111" s="2">
        <f>tb_dados[[#This Row],[Data]]+tb_dados[[#This Row],[Hora]]</f>
        <v>46095.9375</v>
      </c>
      <c r="E111" t="s">
        <v>12</v>
      </c>
      <c r="F111" t="s">
        <v>14</v>
      </c>
      <c r="G111" t="s">
        <v>19</v>
      </c>
      <c r="H111" s="4">
        <v>850</v>
      </c>
      <c r="I111" s="5">
        <v>1</v>
      </c>
      <c r="K111" t="s">
        <v>27</v>
      </c>
    </row>
    <row r="112" spans="1:11" x14ac:dyDescent="0.3">
      <c r="A112">
        <v>1110</v>
      </c>
      <c r="B112" s="1">
        <v>46086</v>
      </c>
      <c r="C112" s="3">
        <v>0.5625</v>
      </c>
      <c r="D112" s="2">
        <f>tb_dados[[#This Row],[Data]]+tb_dados[[#This Row],[Hora]]</f>
        <v>46086.5625</v>
      </c>
      <c r="E112" t="s">
        <v>12</v>
      </c>
      <c r="F112" t="s">
        <v>13</v>
      </c>
      <c r="G112" t="s">
        <v>19</v>
      </c>
      <c r="H112" s="4">
        <v>850</v>
      </c>
      <c r="I112" s="5">
        <v>2</v>
      </c>
      <c r="K112" t="s">
        <v>28</v>
      </c>
    </row>
    <row r="113" spans="1:11" x14ac:dyDescent="0.3">
      <c r="A113">
        <v>1111</v>
      </c>
      <c r="B113" s="1">
        <v>46107</v>
      </c>
      <c r="C113" s="3">
        <v>0.79861111111111116</v>
      </c>
      <c r="D113" s="2">
        <f>tb_dados[[#This Row],[Data]]+tb_dados[[#This Row],[Hora]]</f>
        <v>46107.798611111109</v>
      </c>
      <c r="E113" t="s">
        <v>10</v>
      </c>
      <c r="F113" t="s">
        <v>14</v>
      </c>
      <c r="G113" t="s">
        <v>22</v>
      </c>
      <c r="H113" s="4">
        <v>2100</v>
      </c>
      <c r="I113" s="5">
        <v>2</v>
      </c>
      <c r="K113" t="s">
        <v>25</v>
      </c>
    </row>
    <row r="114" spans="1:11" x14ac:dyDescent="0.3">
      <c r="A114">
        <v>1112</v>
      </c>
      <c r="B114" s="1">
        <v>46098</v>
      </c>
      <c r="C114" s="3">
        <v>0.78402777777777777</v>
      </c>
      <c r="D114" s="2">
        <f>tb_dados[[#This Row],[Data]]+tb_dados[[#This Row],[Hora]]</f>
        <v>46098.78402777778</v>
      </c>
      <c r="E114" t="s">
        <v>11</v>
      </c>
      <c r="F114" t="s">
        <v>15</v>
      </c>
      <c r="G114" t="s">
        <v>24</v>
      </c>
      <c r="H114" s="4">
        <v>280</v>
      </c>
      <c r="I114" s="5">
        <v>2</v>
      </c>
      <c r="K114" t="s">
        <v>28</v>
      </c>
    </row>
    <row r="115" spans="1:11" x14ac:dyDescent="0.3">
      <c r="A115">
        <v>1113</v>
      </c>
      <c r="B115" s="1">
        <v>46095</v>
      </c>
      <c r="C115" s="3">
        <v>0.57638888888888895</v>
      </c>
      <c r="D115" s="2">
        <f>tb_dados[[#This Row],[Data]]+tb_dados[[#This Row],[Hora]]</f>
        <v>46095.576388888891</v>
      </c>
      <c r="E115" t="s">
        <v>11</v>
      </c>
      <c r="F115" t="s">
        <v>13</v>
      </c>
      <c r="G115" t="s">
        <v>21</v>
      </c>
      <c r="H115" s="4">
        <v>350</v>
      </c>
      <c r="I115" s="5">
        <v>2</v>
      </c>
      <c r="K115" t="s">
        <v>25</v>
      </c>
    </row>
    <row r="116" spans="1:11" x14ac:dyDescent="0.3">
      <c r="A116">
        <v>1114</v>
      </c>
      <c r="B116" s="1">
        <v>46094</v>
      </c>
      <c r="C116" s="3">
        <v>0.59236111111111112</v>
      </c>
      <c r="D116" s="2">
        <f>tb_dados[[#This Row],[Data]]+tb_dados[[#This Row],[Hora]]</f>
        <v>46094.592361111114</v>
      </c>
      <c r="E116" t="s">
        <v>11</v>
      </c>
      <c r="F116" t="s">
        <v>14</v>
      </c>
      <c r="G116" t="s">
        <v>24</v>
      </c>
      <c r="H116" s="4">
        <v>280</v>
      </c>
      <c r="I116" s="5">
        <v>3</v>
      </c>
      <c r="K116" t="s">
        <v>27</v>
      </c>
    </row>
    <row r="117" spans="1:11" x14ac:dyDescent="0.3">
      <c r="A117">
        <v>1115</v>
      </c>
      <c r="B117" s="1">
        <v>46099</v>
      </c>
      <c r="C117" s="3">
        <v>0.56388888888888888</v>
      </c>
      <c r="D117" s="2">
        <f>tb_dados[[#This Row],[Data]]+tb_dados[[#This Row],[Hora]]</f>
        <v>46099.563888888886</v>
      </c>
      <c r="E117" t="s">
        <v>11</v>
      </c>
      <c r="F117" t="s">
        <v>14</v>
      </c>
      <c r="G117" t="s">
        <v>18</v>
      </c>
      <c r="H117" s="4">
        <v>120</v>
      </c>
      <c r="I117" s="5">
        <v>1</v>
      </c>
      <c r="K117" t="s">
        <v>26</v>
      </c>
    </row>
    <row r="118" spans="1:11" x14ac:dyDescent="0.3">
      <c r="A118">
        <v>1116</v>
      </c>
      <c r="B118" s="1">
        <v>46078</v>
      </c>
      <c r="C118" s="3">
        <v>0.91666666666666663</v>
      </c>
      <c r="D118" s="2">
        <f>tb_dados[[#This Row],[Data]]+tb_dados[[#This Row],[Hora]]</f>
        <v>46078.916666666664</v>
      </c>
      <c r="E118" t="s">
        <v>12</v>
      </c>
      <c r="F118" t="s">
        <v>13</v>
      </c>
      <c r="G118" t="s">
        <v>19</v>
      </c>
      <c r="H118" s="4">
        <v>850</v>
      </c>
      <c r="I118" s="5">
        <v>1</v>
      </c>
      <c r="K118" t="s">
        <v>26</v>
      </c>
    </row>
    <row r="119" spans="1:11" x14ac:dyDescent="0.3">
      <c r="A119">
        <v>1117</v>
      </c>
      <c r="B119" s="1">
        <v>46104</v>
      </c>
      <c r="C119" s="3">
        <v>0.50208333333333333</v>
      </c>
      <c r="D119" s="2">
        <f>tb_dados[[#This Row],[Data]]+tb_dados[[#This Row],[Hora]]</f>
        <v>46104.502083333333</v>
      </c>
      <c r="E119" t="s">
        <v>10</v>
      </c>
      <c r="F119" t="s">
        <v>15</v>
      </c>
      <c r="G119" t="s">
        <v>22</v>
      </c>
      <c r="H119" s="4">
        <v>2100</v>
      </c>
      <c r="I119" s="5">
        <v>2</v>
      </c>
      <c r="K119" t="s">
        <v>25</v>
      </c>
    </row>
    <row r="120" spans="1:11" x14ac:dyDescent="0.3">
      <c r="A120">
        <v>1118</v>
      </c>
      <c r="B120" s="1">
        <v>46086</v>
      </c>
      <c r="C120" s="3">
        <v>0.34166666666666662</v>
      </c>
      <c r="D120" s="2">
        <f>tb_dados[[#This Row],[Data]]+tb_dados[[#This Row],[Hora]]</f>
        <v>46086.341666666667</v>
      </c>
      <c r="E120" t="s">
        <v>11</v>
      </c>
      <c r="F120" t="s">
        <v>16</v>
      </c>
      <c r="G120" t="s">
        <v>21</v>
      </c>
      <c r="H120" s="4">
        <v>350</v>
      </c>
      <c r="I120" s="5">
        <v>1</v>
      </c>
      <c r="K120" t="s">
        <v>28</v>
      </c>
    </row>
    <row r="121" spans="1:11" x14ac:dyDescent="0.3">
      <c r="A121">
        <v>1119</v>
      </c>
      <c r="B121" s="1">
        <v>46106</v>
      </c>
      <c r="C121" s="3">
        <v>0.72638888888888886</v>
      </c>
      <c r="D121" s="2">
        <f>tb_dados[[#This Row],[Data]]+tb_dados[[#This Row],[Hora]]</f>
        <v>46106.726388888892</v>
      </c>
      <c r="E121" t="s">
        <v>12</v>
      </c>
      <c r="F121" t="s">
        <v>13</v>
      </c>
      <c r="G121" t="s">
        <v>20</v>
      </c>
      <c r="H121" s="4">
        <v>420</v>
      </c>
      <c r="I121" s="5">
        <v>3</v>
      </c>
      <c r="K121" t="s">
        <v>28</v>
      </c>
    </row>
    <row r="122" spans="1:11" x14ac:dyDescent="0.3">
      <c r="A122">
        <v>1120</v>
      </c>
      <c r="B122" s="1">
        <v>46078</v>
      </c>
      <c r="C122" s="3">
        <v>0.59513888888888888</v>
      </c>
      <c r="D122" s="2">
        <f>tb_dados[[#This Row],[Data]]+tb_dados[[#This Row],[Hora]]</f>
        <v>46078.595138888886</v>
      </c>
      <c r="E122" t="s">
        <v>12</v>
      </c>
      <c r="F122" t="s">
        <v>14</v>
      </c>
      <c r="G122" t="s">
        <v>19</v>
      </c>
      <c r="H122" s="4">
        <v>850</v>
      </c>
      <c r="I122" s="5">
        <v>3</v>
      </c>
      <c r="K122" t="s">
        <v>27</v>
      </c>
    </row>
    <row r="123" spans="1:11" x14ac:dyDescent="0.3">
      <c r="A123">
        <v>1121</v>
      </c>
      <c r="B123" s="1">
        <v>46085</v>
      </c>
      <c r="C123" s="3">
        <v>0.3888888888888889</v>
      </c>
      <c r="D123" s="2">
        <f>tb_dados[[#This Row],[Data]]+tb_dados[[#This Row],[Hora]]</f>
        <v>46085.388888888891</v>
      </c>
      <c r="E123" t="s">
        <v>10</v>
      </c>
      <c r="F123" t="s">
        <v>13</v>
      </c>
      <c r="G123" t="s">
        <v>17</v>
      </c>
      <c r="H123" s="4">
        <v>900</v>
      </c>
      <c r="I123" s="5">
        <v>3</v>
      </c>
      <c r="K123" t="s">
        <v>25</v>
      </c>
    </row>
    <row r="124" spans="1:11" x14ac:dyDescent="0.3">
      <c r="A124">
        <v>1122</v>
      </c>
      <c r="B124" s="1">
        <v>46106</v>
      </c>
      <c r="C124" s="3">
        <v>0.44305555555555554</v>
      </c>
      <c r="D124" s="2">
        <f>tb_dados[[#This Row],[Data]]+tb_dados[[#This Row],[Hora]]</f>
        <v>46106.443055555559</v>
      </c>
      <c r="E124" t="s">
        <v>11</v>
      </c>
      <c r="F124" t="s">
        <v>13</v>
      </c>
      <c r="G124" t="s">
        <v>18</v>
      </c>
      <c r="H124" s="4">
        <v>120</v>
      </c>
      <c r="I124" s="5">
        <v>1</v>
      </c>
      <c r="K124" t="s">
        <v>25</v>
      </c>
    </row>
    <row r="125" spans="1:11" x14ac:dyDescent="0.3">
      <c r="A125">
        <v>1123</v>
      </c>
      <c r="B125" s="1">
        <v>46101</v>
      </c>
      <c r="C125" s="3">
        <v>0.91736111111111107</v>
      </c>
      <c r="D125" s="2">
        <f>tb_dados[[#This Row],[Data]]+tb_dados[[#This Row],[Hora]]</f>
        <v>46101.917361111111</v>
      </c>
      <c r="E125" t="s">
        <v>10</v>
      </c>
      <c r="F125" t="s">
        <v>15</v>
      </c>
      <c r="G125" t="s">
        <v>23</v>
      </c>
      <c r="H125" s="4">
        <v>4500</v>
      </c>
      <c r="I125" s="5">
        <v>2</v>
      </c>
      <c r="K125" t="s">
        <v>27</v>
      </c>
    </row>
    <row r="126" spans="1:11" x14ac:dyDescent="0.3">
      <c r="A126">
        <v>1124</v>
      </c>
      <c r="B126" s="1">
        <v>46097</v>
      </c>
      <c r="C126" s="3">
        <v>0.87430555555555556</v>
      </c>
      <c r="D126" s="2">
        <f>tb_dados[[#This Row],[Data]]+tb_dados[[#This Row],[Hora]]</f>
        <v>46097.874305555553</v>
      </c>
      <c r="E126" t="s">
        <v>11</v>
      </c>
      <c r="F126" t="s">
        <v>15</v>
      </c>
      <c r="G126" t="s">
        <v>21</v>
      </c>
      <c r="H126" s="4">
        <v>350</v>
      </c>
      <c r="I126" s="5">
        <v>3</v>
      </c>
      <c r="K126" t="s">
        <v>25</v>
      </c>
    </row>
    <row r="127" spans="1:11" x14ac:dyDescent="0.3">
      <c r="A127">
        <v>1125</v>
      </c>
      <c r="B127" s="1">
        <v>46091</v>
      </c>
      <c r="C127" s="3">
        <v>0.7416666666666667</v>
      </c>
      <c r="D127" s="2">
        <f>tb_dados[[#This Row],[Data]]+tb_dados[[#This Row],[Hora]]</f>
        <v>46091.741666666669</v>
      </c>
      <c r="E127" t="s">
        <v>11</v>
      </c>
      <c r="F127" t="s">
        <v>15</v>
      </c>
      <c r="G127" t="s">
        <v>18</v>
      </c>
      <c r="H127" s="4">
        <v>120</v>
      </c>
      <c r="I127" s="5">
        <v>2</v>
      </c>
      <c r="K127" t="s">
        <v>28</v>
      </c>
    </row>
    <row r="128" spans="1:11" x14ac:dyDescent="0.3">
      <c r="A128">
        <v>1126</v>
      </c>
      <c r="B128" s="1">
        <v>46086</v>
      </c>
      <c r="C128" s="3">
        <v>0.34930555555555554</v>
      </c>
      <c r="D128" s="2">
        <f>tb_dados[[#This Row],[Data]]+tb_dados[[#This Row],[Hora]]</f>
        <v>46086.349305555559</v>
      </c>
      <c r="E128" t="s">
        <v>10</v>
      </c>
      <c r="F128" t="s">
        <v>15</v>
      </c>
      <c r="G128" t="s">
        <v>22</v>
      </c>
      <c r="H128" s="4">
        <v>2100</v>
      </c>
      <c r="I128" s="5">
        <v>3</v>
      </c>
      <c r="K128" t="s">
        <v>26</v>
      </c>
    </row>
    <row r="129" spans="1:11" x14ac:dyDescent="0.3">
      <c r="A129">
        <v>1127</v>
      </c>
      <c r="B129" s="1">
        <v>46092</v>
      </c>
      <c r="C129" s="3">
        <v>0.5756944444444444</v>
      </c>
      <c r="D129" s="2">
        <f>tb_dados[[#This Row],[Data]]+tb_dados[[#This Row],[Hora]]</f>
        <v>46092.575694444444</v>
      </c>
      <c r="E129" t="s">
        <v>11</v>
      </c>
      <c r="F129" t="s">
        <v>16</v>
      </c>
      <c r="G129" t="s">
        <v>24</v>
      </c>
      <c r="H129" s="4">
        <v>280</v>
      </c>
      <c r="I129" s="5">
        <v>1</v>
      </c>
      <c r="K129" t="s">
        <v>26</v>
      </c>
    </row>
    <row r="130" spans="1:11" x14ac:dyDescent="0.3">
      <c r="A130">
        <v>1128</v>
      </c>
      <c r="B130" s="1">
        <v>46078</v>
      </c>
      <c r="C130" s="3">
        <v>0.68194444444444446</v>
      </c>
      <c r="D130" s="2">
        <f>tb_dados[[#This Row],[Data]]+tb_dados[[#This Row],[Hora]]</f>
        <v>46078.681944444441</v>
      </c>
      <c r="E130" t="s">
        <v>10</v>
      </c>
      <c r="F130" t="s">
        <v>13</v>
      </c>
      <c r="G130" t="s">
        <v>22</v>
      </c>
      <c r="H130" s="4">
        <v>2100</v>
      </c>
      <c r="I130" s="5">
        <v>3</v>
      </c>
      <c r="K130" t="s">
        <v>28</v>
      </c>
    </row>
    <row r="131" spans="1:11" x14ac:dyDescent="0.3">
      <c r="A131">
        <v>1129</v>
      </c>
      <c r="B131" s="1">
        <v>46085</v>
      </c>
      <c r="C131" s="3">
        <v>0.48194444444444445</v>
      </c>
      <c r="D131" s="2">
        <f>tb_dados[[#This Row],[Data]]+tb_dados[[#This Row],[Hora]]</f>
        <v>46085.481944444444</v>
      </c>
      <c r="E131" t="s">
        <v>10</v>
      </c>
      <c r="F131" t="s">
        <v>14</v>
      </c>
      <c r="G131" t="s">
        <v>17</v>
      </c>
      <c r="H131" s="4">
        <v>900</v>
      </c>
      <c r="I131" s="5">
        <v>3</v>
      </c>
      <c r="K131" t="s">
        <v>26</v>
      </c>
    </row>
    <row r="132" spans="1:11" x14ac:dyDescent="0.3">
      <c r="A132">
        <v>1130</v>
      </c>
      <c r="B132" s="1">
        <v>46100</v>
      </c>
      <c r="C132" s="3">
        <v>0.94236111111111109</v>
      </c>
      <c r="D132" s="2">
        <f>tb_dados[[#This Row],[Data]]+tb_dados[[#This Row],[Hora]]</f>
        <v>46100.942361111112</v>
      </c>
      <c r="E132" t="s">
        <v>11</v>
      </c>
      <c r="F132" t="s">
        <v>14</v>
      </c>
      <c r="G132" t="s">
        <v>21</v>
      </c>
      <c r="H132" s="4">
        <v>350</v>
      </c>
      <c r="I132" s="5">
        <v>3</v>
      </c>
      <c r="K132" t="s">
        <v>27</v>
      </c>
    </row>
    <row r="133" spans="1:11" x14ac:dyDescent="0.3">
      <c r="A133">
        <v>1131</v>
      </c>
      <c r="B133" s="1">
        <v>46103</v>
      </c>
      <c r="C133" s="3">
        <v>0.6069444444444444</v>
      </c>
      <c r="D133" s="2">
        <f>tb_dados[[#This Row],[Data]]+tb_dados[[#This Row],[Hora]]</f>
        <v>46103.606944444444</v>
      </c>
      <c r="E133" t="s">
        <v>11</v>
      </c>
      <c r="F133" t="s">
        <v>14</v>
      </c>
      <c r="G133" t="s">
        <v>18</v>
      </c>
      <c r="H133" s="4">
        <v>120</v>
      </c>
      <c r="I133" s="5">
        <v>3</v>
      </c>
      <c r="K133" t="s">
        <v>28</v>
      </c>
    </row>
    <row r="134" spans="1:11" x14ac:dyDescent="0.3">
      <c r="A134">
        <v>1132</v>
      </c>
      <c r="B134" s="1">
        <v>46104</v>
      </c>
      <c r="C134" s="3">
        <v>0.47500000000000003</v>
      </c>
      <c r="D134" s="2">
        <f>tb_dados[[#This Row],[Data]]+tb_dados[[#This Row],[Hora]]</f>
        <v>46104.474999999999</v>
      </c>
      <c r="E134" t="s">
        <v>10</v>
      </c>
      <c r="F134" t="s">
        <v>13</v>
      </c>
      <c r="G134" t="s">
        <v>17</v>
      </c>
      <c r="H134" s="4">
        <v>900</v>
      </c>
      <c r="I134" s="5">
        <v>1</v>
      </c>
      <c r="K134" t="s">
        <v>26</v>
      </c>
    </row>
    <row r="135" spans="1:11" x14ac:dyDescent="0.3">
      <c r="A135">
        <v>1133</v>
      </c>
      <c r="B135" s="1">
        <v>46096</v>
      </c>
      <c r="C135" s="3">
        <v>0.76388888888888884</v>
      </c>
      <c r="D135" s="2">
        <f>tb_dados[[#This Row],[Data]]+tb_dados[[#This Row],[Hora]]</f>
        <v>46096.763888888891</v>
      </c>
      <c r="E135" t="s">
        <v>10</v>
      </c>
      <c r="F135" t="s">
        <v>16</v>
      </c>
      <c r="G135" t="s">
        <v>23</v>
      </c>
      <c r="H135" s="4">
        <v>4500</v>
      </c>
      <c r="I135" s="5">
        <v>3</v>
      </c>
      <c r="K135" t="s">
        <v>27</v>
      </c>
    </row>
    <row r="136" spans="1:11" x14ac:dyDescent="0.3">
      <c r="A136">
        <v>1134</v>
      </c>
      <c r="B136" s="1">
        <v>46104</v>
      </c>
      <c r="C136" s="3">
        <v>0.51597222222222217</v>
      </c>
      <c r="D136" s="2">
        <f>tb_dados[[#This Row],[Data]]+tb_dados[[#This Row],[Hora]]</f>
        <v>46104.515972222223</v>
      </c>
      <c r="E136" t="s">
        <v>11</v>
      </c>
      <c r="F136" t="s">
        <v>13</v>
      </c>
      <c r="G136" t="s">
        <v>24</v>
      </c>
      <c r="H136" s="4">
        <v>280</v>
      </c>
      <c r="I136" s="5">
        <v>1</v>
      </c>
      <c r="K136" t="s">
        <v>27</v>
      </c>
    </row>
    <row r="137" spans="1:11" x14ac:dyDescent="0.3">
      <c r="A137">
        <v>1135</v>
      </c>
      <c r="B137" s="1">
        <v>46107</v>
      </c>
      <c r="C137" s="3">
        <v>0.43472222222222223</v>
      </c>
      <c r="D137" s="2">
        <f>tb_dados[[#This Row],[Data]]+tb_dados[[#This Row],[Hora]]</f>
        <v>46107.43472222222</v>
      </c>
      <c r="E137" t="s">
        <v>11</v>
      </c>
      <c r="F137" t="s">
        <v>14</v>
      </c>
      <c r="G137" t="s">
        <v>18</v>
      </c>
      <c r="H137" s="4">
        <v>120</v>
      </c>
      <c r="I137" s="5">
        <v>2</v>
      </c>
      <c r="K137" t="s">
        <v>27</v>
      </c>
    </row>
    <row r="138" spans="1:11" x14ac:dyDescent="0.3">
      <c r="A138">
        <v>1136</v>
      </c>
      <c r="B138" s="1">
        <v>46103</v>
      </c>
      <c r="C138" s="3">
        <v>0.4201388888888889</v>
      </c>
      <c r="D138" s="2">
        <f>tb_dados[[#This Row],[Data]]+tb_dados[[#This Row],[Hora]]</f>
        <v>46103.420138888891</v>
      </c>
      <c r="E138" t="s">
        <v>10</v>
      </c>
      <c r="F138" t="s">
        <v>16</v>
      </c>
      <c r="G138" t="s">
        <v>22</v>
      </c>
      <c r="H138" s="4">
        <v>2100</v>
      </c>
      <c r="I138" s="5">
        <v>2</v>
      </c>
      <c r="K138" t="s">
        <v>25</v>
      </c>
    </row>
    <row r="139" spans="1:11" x14ac:dyDescent="0.3">
      <c r="A139">
        <v>1137</v>
      </c>
      <c r="B139" s="1">
        <v>46092</v>
      </c>
      <c r="C139" s="3">
        <v>0.84930555555555554</v>
      </c>
      <c r="D139" s="2">
        <f>tb_dados[[#This Row],[Data]]+tb_dados[[#This Row],[Hora]]</f>
        <v>46092.849305555559</v>
      </c>
      <c r="E139" t="s">
        <v>11</v>
      </c>
      <c r="F139" t="s">
        <v>15</v>
      </c>
      <c r="G139" t="s">
        <v>21</v>
      </c>
      <c r="H139" s="4">
        <v>350</v>
      </c>
      <c r="I139" s="5">
        <v>3</v>
      </c>
      <c r="K139" t="s">
        <v>27</v>
      </c>
    </row>
    <row r="140" spans="1:11" x14ac:dyDescent="0.3">
      <c r="A140">
        <v>1138</v>
      </c>
      <c r="B140" s="1">
        <v>46095</v>
      </c>
      <c r="C140" s="3">
        <v>0.53194444444444444</v>
      </c>
      <c r="D140" s="2">
        <f>tb_dados[[#This Row],[Data]]+tb_dados[[#This Row],[Hora]]</f>
        <v>46095.531944444447</v>
      </c>
      <c r="E140" t="s">
        <v>12</v>
      </c>
      <c r="F140" t="s">
        <v>16</v>
      </c>
      <c r="G140" t="s">
        <v>20</v>
      </c>
      <c r="H140" s="4">
        <v>420</v>
      </c>
      <c r="I140" s="5">
        <v>3</v>
      </c>
      <c r="K140" t="s">
        <v>26</v>
      </c>
    </row>
    <row r="141" spans="1:11" x14ac:dyDescent="0.3">
      <c r="A141">
        <v>1139</v>
      </c>
      <c r="B141" s="1">
        <v>46079</v>
      </c>
      <c r="C141" s="3">
        <v>0.95416666666666661</v>
      </c>
      <c r="D141" s="2">
        <f>tb_dados[[#This Row],[Data]]+tb_dados[[#This Row],[Hora]]</f>
        <v>46079.95416666667</v>
      </c>
      <c r="E141" t="s">
        <v>12</v>
      </c>
      <c r="F141" t="s">
        <v>16</v>
      </c>
      <c r="G141" t="s">
        <v>20</v>
      </c>
      <c r="H141" s="4">
        <v>420</v>
      </c>
      <c r="I141" s="5">
        <v>1</v>
      </c>
      <c r="K141" t="s">
        <v>25</v>
      </c>
    </row>
    <row r="142" spans="1:11" x14ac:dyDescent="0.3">
      <c r="A142">
        <v>1140</v>
      </c>
      <c r="B142" s="1">
        <v>46084</v>
      </c>
      <c r="C142" s="3">
        <v>0.85902777777777783</v>
      </c>
      <c r="D142" s="2">
        <f>tb_dados[[#This Row],[Data]]+tb_dados[[#This Row],[Hora]]</f>
        <v>46084.859027777777</v>
      </c>
      <c r="E142" t="s">
        <v>12</v>
      </c>
      <c r="F142" t="s">
        <v>15</v>
      </c>
      <c r="G142" t="s">
        <v>19</v>
      </c>
      <c r="H142" s="4">
        <v>850</v>
      </c>
      <c r="I142" s="5">
        <v>1</v>
      </c>
      <c r="K142" t="s">
        <v>25</v>
      </c>
    </row>
    <row r="143" spans="1:11" x14ac:dyDescent="0.3">
      <c r="A143">
        <v>1141</v>
      </c>
      <c r="B143" s="1">
        <v>46081</v>
      </c>
      <c r="C143" s="3">
        <v>0.54027777777777775</v>
      </c>
      <c r="D143" s="2">
        <f>tb_dados[[#This Row],[Data]]+tb_dados[[#This Row],[Hora]]</f>
        <v>46081.540277777778</v>
      </c>
      <c r="E143" t="s">
        <v>12</v>
      </c>
      <c r="F143" t="s">
        <v>13</v>
      </c>
      <c r="G143" t="s">
        <v>20</v>
      </c>
      <c r="H143" s="4">
        <v>420</v>
      </c>
      <c r="I143" s="5">
        <v>2</v>
      </c>
      <c r="K143" t="s">
        <v>28</v>
      </c>
    </row>
    <row r="144" spans="1:11" x14ac:dyDescent="0.3">
      <c r="A144">
        <v>1142</v>
      </c>
      <c r="B144" s="1">
        <v>46105</v>
      </c>
      <c r="C144" s="3">
        <v>0.7944444444444444</v>
      </c>
      <c r="D144" s="2">
        <f>tb_dados[[#This Row],[Data]]+tb_dados[[#This Row],[Hora]]</f>
        <v>46105.794444444444</v>
      </c>
      <c r="E144" t="s">
        <v>11</v>
      </c>
      <c r="F144" t="s">
        <v>13</v>
      </c>
      <c r="G144" t="s">
        <v>24</v>
      </c>
      <c r="H144" s="4">
        <v>280</v>
      </c>
      <c r="I144" s="5">
        <v>1</v>
      </c>
      <c r="K144" t="s">
        <v>27</v>
      </c>
    </row>
    <row r="145" spans="1:11" x14ac:dyDescent="0.3">
      <c r="A145">
        <v>1143</v>
      </c>
      <c r="B145" s="1">
        <v>46103</v>
      </c>
      <c r="C145" s="3">
        <v>0.81041666666666667</v>
      </c>
      <c r="D145" s="2">
        <f>tb_dados[[#This Row],[Data]]+tb_dados[[#This Row],[Hora]]</f>
        <v>46103.810416666667</v>
      </c>
      <c r="E145" t="s">
        <v>11</v>
      </c>
      <c r="F145" t="s">
        <v>16</v>
      </c>
      <c r="G145" t="s">
        <v>21</v>
      </c>
      <c r="H145" s="4">
        <v>350</v>
      </c>
      <c r="I145" s="5">
        <v>3</v>
      </c>
      <c r="K145" t="s">
        <v>28</v>
      </c>
    </row>
    <row r="146" spans="1:11" x14ac:dyDescent="0.3">
      <c r="A146">
        <v>1144</v>
      </c>
      <c r="B146" s="1">
        <v>46104</v>
      </c>
      <c r="C146" s="3">
        <v>0.7104166666666667</v>
      </c>
      <c r="D146" s="2">
        <f>tb_dados[[#This Row],[Data]]+tb_dados[[#This Row],[Hora]]</f>
        <v>46104.710416666669</v>
      </c>
      <c r="E146" t="s">
        <v>12</v>
      </c>
      <c r="F146" t="s">
        <v>15</v>
      </c>
      <c r="G146" t="s">
        <v>19</v>
      </c>
      <c r="H146" s="4">
        <v>850</v>
      </c>
      <c r="I146" s="5">
        <v>2</v>
      </c>
      <c r="K146" t="s">
        <v>27</v>
      </c>
    </row>
    <row r="147" spans="1:11" x14ac:dyDescent="0.3">
      <c r="A147">
        <v>1145</v>
      </c>
      <c r="B147" s="1">
        <v>46081</v>
      </c>
      <c r="C147" s="3">
        <v>0.6694444444444444</v>
      </c>
      <c r="D147" s="2">
        <f>tb_dados[[#This Row],[Data]]+tb_dados[[#This Row],[Hora]]</f>
        <v>46081.669444444444</v>
      </c>
      <c r="E147" t="s">
        <v>11</v>
      </c>
      <c r="F147" t="s">
        <v>15</v>
      </c>
      <c r="G147" t="s">
        <v>18</v>
      </c>
      <c r="H147" s="4">
        <v>120</v>
      </c>
      <c r="I147" s="5">
        <v>2</v>
      </c>
      <c r="K147" t="s">
        <v>28</v>
      </c>
    </row>
    <row r="148" spans="1:11" x14ac:dyDescent="0.3">
      <c r="A148">
        <v>1146</v>
      </c>
      <c r="B148" s="1">
        <v>46090</v>
      </c>
      <c r="C148" s="3">
        <v>0.46319444444444446</v>
      </c>
      <c r="D148" s="2">
        <f>tb_dados[[#This Row],[Data]]+tb_dados[[#This Row],[Hora]]</f>
        <v>46090.463194444441</v>
      </c>
      <c r="E148" t="s">
        <v>10</v>
      </c>
      <c r="F148" t="s">
        <v>16</v>
      </c>
      <c r="G148" t="s">
        <v>22</v>
      </c>
      <c r="H148" s="4">
        <v>2100</v>
      </c>
      <c r="I148" s="5">
        <v>1</v>
      </c>
      <c r="K148" t="s">
        <v>25</v>
      </c>
    </row>
    <row r="149" spans="1:11" x14ac:dyDescent="0.3">
      <c r="A149">
        <v>1147</v>
      </c>
      <c r="B149" s="1">
        <v>46106</v>
      </c>
      <c r="C149" s="3">
        <v>0.88402777777777775</v>
      </c>
      <c r="D149" s="2">
        <f>tb_dados[[#This Row],[Data]]+tb_dados[[#This Row],[Hora]]</f>
        <v>46106.884027777778</v>
      </c>
      <c r="E149" t="s">
        <v>10</v>
      </c>
      <c r="F149" t="s">
        <v>16</v>
      </c>
      <c r="G149" t="s">
        <v>17</v>
      </c>
      <c r="H149" s="4">
        <v>900</v>
      </c>
      <c r="I149" s="5">
        <v>1</v>
      </c>
      <c r="K149" t="s">
        <v>26</v>
      </c>
    </row>
    <row r="150" spans="1:11" x14ac:dyDescent="0.3">
      <c r="A150">
        <v>1148</v>
      </c>
      <c r="B150" s="1">
        <v>46102</v>
      </c>
      <c r="C150" s="3">
        <v>0.35000000000000003</v>
      </c>
      <c r="D150" s="2">
        <f>tb_dados[[#This Row],[Data]]+tb_dados[[#This Row],[Hora]]</f>
        <v>46102.35</v>
      </c>
      <c r="E150" t="s">
        <v>12</v>
      </c>
      <c r="F150" t="s">
        <v>14</v>
      </c>
      <c r="G150" t="s">
        <v>19</v>
      </c>
      <c r="H150" s="4">
        <v>850</v>
      </c>
      <c r="I150" s="5">
        <v>3</v>
      </c>
      <c r="K150" t="s">
        <v>27</v>
      </c>
    </row>
    <row r="151" spans="1:11" x14ac:dyDescent="0.3">
      <c r="A151">
        <v>1149</v>
      </c>
      <c r="B151" s="1">
        <v>46087</v>
      </c>
      <c r="C151" s="3">
        <v>0.61319444444444449</v>
      </c>
      <c r="D151" s="2">
        <f>tb_dados[[#This Row],[Data]]+tb_dados[[#This Row],[Hora]]</f>
        <v>46087.613194444442</v>
      </c>
      <c r="E151" t="s">
        <v>12</v>
      </c>
      <c r="F151" t="s">
        <v>14</v>
      </c>
      <c r="G151" t="s">
        <v>19</v>
      </c>
      <c r="H151" s="4">
        <v>850</v>
      </c>
      <c r="I151" s="5">
        <v>3</v>
      </c>
      <c r="K151" t="s">
        <v>27</v>
      </c>
    </row>
    <row r="152" spans="1:11" x14ac:dyDescent="0.3">
      <c r="A152">
        <v>1150</v>
      </c>
      <c r="B152" s="1">
        <v>46089</v>
      </c>
      <c r="C152" s="3">
        <v>0.48749999999999999</v>
      </c>
      <c r="D152" s="2">
        <f>tb_dados[[#This Row],[Data]]+tb_dados[[#This Row],[Hora]]</f>
        <v>46089.487500000003</v>
      </c>
      <c r="E152" t="s">
        <v>10</v>
      </c>
      <c r="F152" t="s">
        <v>14</v>
      </c>
      <c r="G152" t="s">
        <v>22</v>
      </c>
      <c r="H152" s="4">
        <v>2100</v>
      </c>
      <c r="I152" s="5">
        <v>1</v>
      </c>
      <c r="K152" t="s">
        <v>28</v>
      </c>
    </row>
    <row r="153" spans="1:11" x14ac:dyDescent="0.3">
      <c r="A153">
        <v>1151</v>
      </c>
      <c r="B153" s="1">
        <v>46087</v>
      </c>
      <c r="C153" s="3">
        <v>0.6381944444444444</v>
      </c>
      <c r="D153" s="2">
        <f>tb_dados[[#This Row],[Data]]+tb_dados[[#This Row],[Hora]]</f>
        <v>46087.638194444444</v>
      </c>
      <c r="E153" t="s">
        <v>10</v>
      </c>
      <c r="F153" t="s">
        <v>16</v>
      </c>
      <c r="G153" t="s">
        <v>22</v>
      </c>
      <c r="H153" s="4">
        <v>2100</v>
      </c>
      <c r="I153" s="5">
        <v>2</v>
      </c>
      <c r="K153" t="s">
        <v>26</v>
      </c>
    </row>
    <row r="154" spans="1:11" x14ac:dyDescent="0.3">
      <c r="A154">
        <v>1152</v>
      </c>
      <c r="B154" s="1">
        <v>46091</v>
      </c>
      <c r="C154" s="3">
        <v>0.69513888888888886</v>
      </c>
      <c r="D154" s="2">
        <f>tb_dados[[#This Row],[Data]]+tb_dados[[#This Row],[Hora]]</f>
        <v>46091.695138888892</v>
      </c>
      <c r="E154" t="s">
        <v>11</v>
      </c>
      <c r="F154" t="s">
        <v>15</v>
      </c>
      <c r="G154" t="s">
        <v>21</v>
      </c>
      <c r="H154" s="4">
        <v>350</v>
      </c>
      <c r="I154" s="5">
        <v>3</v>
      </c>
      <c r="K154" t="s">
        <v>26</v>
      </c>
    </row>
    <row r="155" spans="1:11" x14ac:dyDescent="0.3">
      <c r="A155">
        <v>1153</v>
      </c>
      <c r="B155" s="1">
        <v>46093</v>
      </c>
      <c r="C155" s="3">
        <v>0.79166666666666663</v>
      </c>
      <c r="D155" s="2">
        <f>tb_dados[[#This Row],[Data]]+tb_dados[[#This Row],[Hora]]</f>
        <v>46093.791666666664</v>
      </c>
      <c r="E155" t="s">
        <v>11</v>
      </c>
      <c r="F155" t="s">
        <v>16</v>
      </c>
      <c r="G155" t="s">
        <v>24</v>
      </c>
      <c r="H155" s="4">
        <v>280</v>
      </c>
      <c r="I155" s="5">
        <v>3</v>
      </c>
      <c r="K155" t="s">
        <v>28</v>
      </c>
    </row>
    <row r="156" spans="1:11" x14ac:dyDescent="0.3">
      <c r="A156">
        <v>1154</v>
      </c>
      <c r="B156" s="1">
        <v>46084</v>
      </c>
      <c r="C156" s="3">
        <v>0.82152777777777775</v>
      </c>
      <c r="D156" s="2">
        <f>tb_dados[[#This Row],[Data]]+tb_dados[[#This Row],[Hora]]</f>
        <v>46084.821527777778</v>
      </c>
      <c r="E156" t="s">
        <v>12</v>
      </c>
      <c r="F156" t="s">
        <v>15</v>
      </c>
      <c r="G156" t="s">
        <v>20</v>
      </c>
      <c r="H156" s="4">
        <v>420</v>
      </c>
      <c r="I156" s="5">
        <v>3</v>
      </c>
      <c r="K156" t="s">
        <v>28</v>
      </c>
    </row>
    <row r="157" spans="1:11" x14ac:dyDescent="0.3">
      <c r="A157">
        <v>1155</v>
      </c>
      <c r="B157" s="1">
        <v>46093</v>
      </c>
      <c r="C157" s="3">
        <v>0.9</v>
      </c>
      <c r="D157" s="2">
        <f>tb_dados[[#This Row],[Data]]+tb_dados[[#This Row],[Hora]]</f>
        <v>46093.9</v>
      </c>
      <c r="E157" t="s">
        <v>11</v>
      </c>
      <c r="F157" t="s">
        <v>14</v>
      </c>
      <c r="G157" t="s">
        <v>18</v>
      </c>
      <c r="H157" s="4">
        <v>120</v>
      </c>
      <c r="I157" s="5">
        <v>2</v>
      </c>
      <c r="K157" t="s">
        <v>28</v>
      </c>
    </row>
    <row r="158" spans="1:11" x14ac:dyDescent="0.3">
      <c r="A158">
        <v>1156</v>
      </c>
      <c r="B158" s="1">
        <v>46097</v>
      </c>
      <c r="C158" s="3">
        <v>0.57291666666666663</v>
      </c>
      <c r="D158" s="2">
        <f>tb_dados[[#This Row],[Data]]+tb_dados[[#This Row],[Hora]]</f>
        <v>46097.572916666664</v>
      </c>
      <c r="E158" t="s">
        <v>11</v>
      </c>
      <c r="F158" t="s">
        <v>13</v>
      </c>
      <c r="G158" t="s">
        <v>24</v>
      </c>
      <c r="H158" s="4">
        <v>280</v>
      </c>
      <c r="I158" s="5">
        <v>1</v>
      </c>
      <c r="K158" t="s">
        <v>25</v>
      </c>
    </row>
    <row r="159" spans="1:11" x14ac:dyDescent="0.3">
      <c r="A159">
        <v>1157</v>
      </c>
      <c r="B159" s="1">
        <v>46087</v>
      </c>
      <c r="C159" s="3">
        <v>0.57847222222222217</v>
      </c>
      <c r="D159" s="2">
        <f>tb_dados[[#This Row],[Data]]+tb_dados[[#This Row],[Hora]]</f>
        <v>46087.578472222223</v>
      </c>
      <c r="E159" t="s">
        <v>11</v>
      </c>
      <c r="F159" t="s">
        <v>14</v>
      </c>
      <c r="G159" t="s">
        <v>18</v>
      </c>
      <c r="H159" s="4">
        <v>120</v>
      </c>
      <c r="I159" s="5">
        <v>1</v>
      </c>
      <c r="K159" t="s">
        <v>25</v>
      </c>
    </row>
    <row r="160" spans="1:11" x14ac:dyDescent="0.3">
      <c r="A160">
        <v>1158</v>
      </c>
      <c r="B160" s="1">
        <v>46090</v>
      </c>
      <c r="C160" s="3">
        <v>0.50416666666666665</v>
      </c>
      <c r="D160" s="2">
        <f>tb_dados[[#This Row],[Data]]+tb_dados[[#This Row],[Hora]]</f>
        <v>46090.504166666666</v>
      </c>
      <c r="E160" t="s">
        <v>11</v>
      </c>
      <c r="F160" t="s">
        <v>14</v>
      </c>
      <c r="G160" t="s">
        <v>24</v>
      </c>
      <c r="H160" s="4">
        <v>280</v>
      </c>
      <c r="I160" s="5">
        <v>2</v>
      </c>
      <c r="K160" t="s">
        <v>25</v>
      </c>
    </row>
    <row r="161" spans="1:11" x14ac:dyDescent="0.3">
      <c r="A161">
        <v>1159</v>
      </c>
      <c r="B161" s="1">
        <v>46079</v>
      </c>
      <c r="C161" s="3">
        <v>0.88958333333333339</v>
      </c>
      <c r="D161" s="2">
        <f>tb_dados[[#This Row],[Data]]+tb_dados[[#This Row],[Hora]]</f>
        <v>46079.88958333333</v>
      </c>
      <c r="E161" t="s">
        <v>12</v>
      </c>
      <c r="F161" t="s">
        <v>15</v>
      </c>
      <c r="G161" t="s">
        <v>19</v>
      </c>
      <c r="H161" s="4">
        <v>850</v>
      </c>
      <c r="I161" s="5">
        <v>3</v>
      </c>
      <c r="K161" t="s">
        <v>25</v>
      </c>
    </row>
    <row r="162" spans="1:11" x14ac:dyDescent="0.3">
      <c r="A162">
        <v>1160</v>
      </c>
      <c r="B162" s="1">
        <v>46100</v>
      </c>
      <c r="C162" s="3">
        <v>0.42499999999999999</v>
      </c>
      <c r="D162" s="2">
        <f>tb_dados[[#This Row],[Data]]+tb_dados[[#This Row],[Hora]]</f>
        <v>46100.425000000003</v>
      </c>
      <c r="E162" t="s">
        <v>10</v>
      </c>
      <c r="F162" t="s">
        <v>16</v>
      </c>
      <c r="G162" t="s">
        <v>22</v>
      </c>
      <c r="H162" s="4">
        <v>2100</v>
      </c>
      <c r="I162" s="5">
        <v>1</v>
      </c>
      <c r="K162" t="s">
        <v>28</v>
      </c>
    </row>
    <row r="163" spans="1:11" x14ac:dyDescent="0.3">
      <c r="A163">
        <v>1161</v>
      </c>
      <c r="B163" s="1">
        <v>46108</v>
      </c>
      <c r="C163" s="3">
        <v>0.88888888888888884</v>
      </c>
      <c r="D163" s="2">
        <f>tb_dados[[#This Row],[Data]]+tb_dados[[#This Row],[Hora]]</f>
        <v>46108.888888888891</v>
      </c>
      <c r="E163" t="s">
        <v>10</v>
      </c>
      <c r="F163" t="s">
        <v>15</v>
      </c>
      <c r="G163" t="s">
        <v>23</v>
      </c>
      <c r="H163" s="4">
        <v>4500</v>
      </c>
      <c r="I163" s="5">
        <v>3</v>
      </c>
      <c r="K163" t="s">
        <v>26</v>
      </c>
    </row>
    <row r="164" spans="1:11" x14ac:dyDescent="0.3">
      <c r="A164">
        <v>1162</v>
      </c>
      <c r="B164" s="1">
        <v>46108</v>
      </c>
      <c r="C164" s="3">
        <v>0.7104166666666667</v>
      </c>
      <c r="D164" s="2">
        <f>tb_dados[[#This Row],[Data]]+tb_dados[[#This Row],[Hora]]</f>
        <v>46108.710416666669</v>
      </c>
      <c r="E164" t="s">
        <v>10</v>
      </c>
      <c r="F164" t="s">
        <v>15</v>
      </c>
      <c r="G164" t="s">
        <v>22</v>
      </c>
      <c r="H164" s="4">
        <v>2100</v>
      </c>
      <c r="I164" s="5">
        <v>1</v>
      </c>
      <c r="K164" t="s">
        <v>25</v>
      </c>
    </row>
    <row r="165" spans="1:11" x14ac:dyDescent="0.3">
      <c r="A165">
        <v>1163</v>
      </c>
      <c r="B165" s="1">
        <v>46102</v>
      </c>
      <c r="C165" s="3">
        <v>0.50624999999999998</v>
      </c>
      <c r="D165" s="2">
        <f>tb_dados[[#This Row],[Data]]+tb_dados[[#This Row],[Hora]]</f>
        <v>46102.506249999999</v>
      </c>
      <c r="E165" t="s">
        <v>11</v>
      </c>
      <c r="F165" t="s">
        <v>13</v>
      </c>
      <c r="G165" t="s">
        <v>18</v>
      </c>
      <c r="H165" s="4">
        <v>120</v>
      </c>
      <c r="I165" s="5">
        <v>1</v>
      </c>
      <c r="K165" t="s">
        <v>28</v>
      </c>
    </row>
    <row r="166" spans="1:11" x14ac:dyDescent="0.3">
      <c r="A166">
        <v>1164</v>
      </c>
      <c r="B166" s="1">
        <v>46086</v>
      </c>
      <c r="C166" s="3">
        <v>0.59930555555555554</v>
      </c>
      <c r="D166" s="2">
        <f>tb_dados[[#This Row],[Data]]+tb_dados[[#This Row],[Hora]]</f>
        <v>46086.599305555559</v>
      </c>
      <c r="E166" t="s">
        <v>12</v>
      </c>
      <c r="F166" t="s">
        <v>15</v>
      </c>
      <c r="G166" t="s">
        <v>20</v>
      </c>
      <c r="H166" s="4">
        <v>420</v>
      </c>
      <c r="I166" s="5">
        <v>1</v>
      </c>
      <c r="K166" t="s">
        <v>28</v>
      </c>
    </row>
    <row r="167" spans="1:11" x14ac:dyDescent="0.3">
      <c r="A167">
        <v>1165</v>
      </c>
      <c r="B167" s="1">
        <v>46089</v>
      </c>
      <c r="C167" s="3">
        <v>0.56319444444444444</v>
      </c>
      <c r="D167" s="2">
        <f>tb_dados[[#This Row],[Data]]+tb_dados[[#This Row],[Hora]]</f>
        <v>46089.563194444447</v>
      </c>
      <c r="E167" t="s">
        <v>12</v>
      </c>
      <c r="F167" t="s">
        <v>14</v>
      </c>
      <c r="G167" t="s">
        <v>19</v>
      </c>
      <c r="H167" s="4">
        <v>850</v>
      </c>
      <c r="I167" s="5">
        <v>3</v>
      </c>
      <c r="K167" t="s">
        <v>26</v>
      </c>
    </row>
    <row r="168" spans="1:11" x14ac:dyDescent="0.3">
      <c r="A168">
        <v>1166</v>
      </c>
      <c r="B168" s="1">
        <v>46093</v>
      </c>
      <c r="C168" s="3">
        <v>0.68680555555555556</v>
      </c>
      <c r="D168" s="2">
        <f>tb_dados[[#This Row],[Data]]+tb_dados[[#This Row],[Hora]]</f>
        <v>46093.686805555553</v>
      </c>
      <c r="E168" t="s">
        <v>10</v>
      </c>
      <c r="F168" t="s">
        <v>16</v>
      </c>
      <c r="G168" t="s">
        <v>22</v>
      </c>
      <c r="H168" s="4">
        <v>2100</v>
      </c>
      <c r="I168" s="5">
        <v>1</v>
      </c>
      <c r="K168" t="s">
        <v>26</v>
      </c>
    </row>
    <row r="169" spans="1:11" x14ac:dyDescent="0.3">
      <c r="A169">
        <v>1167</v>
      </c>
      <c r="B169" s="1">
        <v>46102</v>
      </c>
      <c r="C169" s="3">
        <v>0.48749999999999999</v>
      </c>
      <c r="D169" s="2">
        <f>tb_dados[[#This Row],[Data]]+tb_dados[[#This Row],[Hora]]</f>
        <v>46102.487500000003</v>
      </c>
      <c r="E169" t="s">
        <v>10</v>
      </c>
      <c r="F169" t="s">
        <v>16</v>
      </c>
      <c r="G169" t="s">
        <v>23</v>
      </c>
      <c r="H169" s="4">
        <v>4500</v>
      </c>
      <c r="I169" s="5">
        <v>1</v>
      </c>
      <c r="K169" t="s">
        <v>25</v>
      </c>
    </row>
    <row r="170" spans="1:11" x14ac:dyDescent="0.3">
      <c r="A170">
        <v>1168</v>
      </c>
      <c r="B170" s="1">
        <v>46098</v>
      </c>
      <c r="C170" s="3">
        <v>0.83472222222222225</v>
      </c>
      <c r="D170" s="2">
        <f>tb_dados[[#This Row],[Data]]+tb_dados[[#This Row],[Hora]]</f>
        <v>46098.834722222222</v>
      </c>
      <c r="E170" t="s">
        <v>12</v>
      </c>
      <c r="F170" t="s">
        <v>14</v>
      </c>
      <c r="G170" t="s">
        <v>19</v>
      </c>
      <c r="H170" s="4">
        <v>850</v>
      </c>
      <c r="I170" s="5">
        <v>2</v>
      </c>
      <c r="K170" t="s">
        <v>25</v>
      </c>
    </row>
    <row r="171" spans="1:11" x14ac:dyDescent="0.3">
      <c r="A171">
        <v>1169</v>
      </c>
      <c r="B171" s="1">
        <v>46089</v>
      </c>
      <c r="C171" s="3">
        <v>0.92569444444444438</v>
      </c>
      <c r="D171" s="2">
        <f>tb_dados[[#This Row],[Data]]+tb_dados[[#This Row],[Hora]]</f>
        <v>46089.925694444442</v>
      </c>
      <c r="E171" t="s">
        <v>10</v>
      </c>
      <c r="F171" t="s">
        <v>14</v>
      </c>
      <c r="G171" t="s">
        <v>23</v>
      </c>
      <c r="H171" s="4">
        <v>4500</v>
      </c>
      <c r="I171" s="5">
        <v>2</v>
      </c>
      <c r="K171" t="s">
        <v>26</v>
      </c>
    </row>
    <row r="172" spans="1:11" x14ac:dyDescent="0.3">
      <c r="A172">
        <v>1170</v>
      </c>
      <c r="B172" s="1">
        <v>46102</v>
      </c>
      <c r="C172" s="3">
        <v>0.7909722222222223</v>
      </c>
      <c r="D172" s="2">
        <f>tb_dados[[#This Row],[Data]]+tb_dados[[#This Row],[Hora]]</f>
        <v>46102.790972222225</v>
      </c>
      <c r="E172" t="s">
        <v>12</v>
      </c>
      <c r="F172" t="s">
        <v>16</v>
      </c>
      <c r="G172" t="s">
        <v>19</v>
      </c>
      <c r="H172" s="4">
        <v>850</v>
      </c>
      <c r="I172" s="5">
        <v>2</v>
      </c>
      <c r="K172" t="s">
        <v>25</v>
      </c>
    </row>
    <row r="173" spans="1:11" x14ac:dyDescent="0.3">
      <c r="A173">
        <v>1171</v>
      </c>
      <c r="B173" s="1">
        <v>46108</v>
      </c>
      <c r="C173" s="3">
        <v>0.74652777777777779</v>
      </c>
      <c r="D173" s="2">
        <f>tb_dados[[#This Row],[Data]]+tb_dados[[#This Row],[Hora]]</f>
        <v>46108.746527777781</v>
      </c>
      <c r="E173" t="s">
        <v>10</v>
      </c>
      <c r="F173" t="s">
        <v>13</v>
      </c>
      <c r="G173" t="s">
        <v>22</v>
      </c>
      <c r="H173" s="4">
        <v>2100</v>
      </c>
      <c r="I173" s="5">
        <v>1</v>
      </c>
      <c r="K173" t="s">
        <v>28</v>
      </c>
    </row>
    <row r="174" spans="1:11" x14ac:dyDescent="0.3">
      <c r="A174">
        <v>1172</v>
      </c>
      <c r="B174" s="1">
        <v>46091</v>
      </c>
      <c r="C174" s="3">
        <v>0.81180555555555556</v>
      </c>
      <c r="D174" s="2">
        <f>tb_dados[[#This Row],[Data]]+tb_dados[[#This Row],[Hora]]</f>
        <v>46091.811805555553</v>
      </c>
      <c r="E174" t="s">
        <v>10</v>
      </c>
      <c r="F174" t="s">
        <v>15</v>
      </c>
      <c r="G174" t="s">
        <v>22</v>
      </c>
      <c r="H174" s="4">
        <v>2100</v>
      </c>
      <c r="I174" s="5">
        <v>3</v>
      </c>
      <c r="K174" t="s">
        <v>26</v>
      </c>
    </row>
    <row r="175" spans="1:11" x14ac:dyDescent="0.3">
      <c r="A175">
        <v>1173</v>
      </c>
      <c r="B175" s="1">
        <v>46078</v>
      </c>
      <c r="C175" s="3">
        <v>0.37013888888888885</v>
      </c>
      <c r="D175" s="2">
        <f>tb_dados[[#This Row],[Data]]+tb_dados[[#This Row],[Hora]]</f>
        <v>46078.370138888888</v>
      </c>
      <c r="E175" t="s">
        <v>12</v>
      </c>
      <c r="F175" t="s">
        <v>14</v>
      </c>
      <c r="G175" t="s">
        <v>20</v>
      </c>
      <c r="H175" s="4">
        <v>420</v>
      </c>
      <c r="I175" s="5">
        <v>2</v>
      </c>
      <c r="K175" t="s">
        <v>26</v>
      </c>
    </row>
    <row r="176" spans="1:11" x14ac:dyDescent="0.3">
      <c r="A176">
        <v>1174</v>
      </c>
      <c r="B176" s="1">
        <v>46101</v>
      </c>
      <c r="C176" s="3">
        <v>0.7909722222222223</v>
      </c>
      <c r="D176" s="2">
        <f>tb_dados[[#This Row],[Data]]+tb_dados[[#This Row],[Hora]]</f>
        <v>46101.790972222225</v>
      </c>
      <c r="E176" t="s">
        <v>11</v>
      </c>
      <c r="F176" t="s">
        <v>13</v>
      </c>
      <c r="G176" t="s">
        <v>24</v>
      </c>
      <c r="H176" s="4">
        <v>280</v>
      </c>
      <c r="I176" s="5">
        <v>3</v>
      </c>
      <c r="K176" t="s">
        <v>26</v>
      </c>
    </row>
    <row r="177" spans="1:11" x14ac:dyDescent="0.3">
      <c r="A177">
        <v>1175</v>
      </c>
      <c r="B177" s="1">
        <v>46096</v>
      </c>
      <c r="C177" s="3">
        <v>0.83888888888888891</v>
      </c>
      <c r="D177" s="2">
        <f>tb_dados[[#This Row],[Data]]+tb_dados[[#This Row],[Hora]]</f>
        <v>46096.838888888888</v>
      </c>
      <c r="E177" t="s">
        <v>10</v>
      </c>
      <c r="F177" t="s">
        <v>14</v>
      </c>
      <c r="G177" t="s">
        <v>23</v>
      </c>
      <c r="H177" s="4">
        <v>4500</v>
      </c>
      <c r="I177" s="5">
        <v>1</v>
      </c>
      <c r="K177" t="s">
        <v>28</v>
      </c>
    </row>
    <row r="178" spans="1:11" x14ac:dyDescent="0.3">
      <c r="A178">
        <v>1176</v>
      </c>
      <c r="B178" s="1">
        <v>46094</v>
      </c>
      <c r="C178" s="3">
        <v>0.67847222222222225</v>
      </c>
      <c r="D178" s="2">
        <f>tb_dados[[#This Row],[Data]]+tb_dados[[#This Row],[Hora]]</f>
        <v>46094.678472222222</v>
      </c>
      <c r="E178" t="s">
        <v>11</v>
      </c>
      <c r="F178" t="s">
        <v>13</v>
      </c>
      <c r="G178" t="s">
        <v>18</v>
      </c>
      <c r="H178" s="4">
        <v>120</v>
      </c>
      <c r="I178" s="5">
        <v>3</v>
      </c>
      <c r="K178" t="s">
        <v>25</v>
      </c>
    </row>
    <row r="179" spans="1:11" x14ac:dyDescent="0.3">
      <c r="A179">
        <v>1177</v>
      </c>
      <c r="B179" s="1">
        <v>46085</v>
      </c>
      <c r="C179" s="3">
        <v>0.77916666666666667</v>
      </c>
      <c r="D179" s="2">
        <f>tb_dados[[#This Row],[Data]]+tb_dados[[#This Row],[Hora]]</f>
        <v>46085.779166666667</v>
      </c>
      <c r="E179" t="s">
        <v>11</v>
      </c>
      <c r="F179" t="s">
        <v>15</v>
      </c>
      <c r="G179" t="s">
        <v>21</v>
      </c>
      <c r="H179" s="4">
        <v>350</v>
      </c>
      <c r="I179" s="5">
        <v>3</v>
      </c>
      <c r="K179" t="s">
        <v>27</v>
      </c>
    </row>
    <row r="180" spans="1:11" x14ac:dyDescent="0.3">
      <c r="A180">
        <v>1178</v>
      </c>
      <c r="B180" s="1">
        <v>46079</v>
      </c>
      <c r="C180" s="3">
        <v>0.43958333333333338</v>
      </c>
      <c r="D180" s="2">
        <f>tb_dados[[#This Row],[Data]]+tb_dados[[#This Row],[Hora]]</f>
        <v>46079.439583333333</v>
      </c>
      <c r="E180" t="s">
        <v>11</v>
      </c>
      <c r="F180" t="s">
        <v>14</v>
      </c>
      <c r="G180" t="s">
        <v>21</v>
      </c>
      <c r="H180" s="4">
        <v>350</v>
      </c>
      <c r="I180" s="5">
        <v>3</v>
      </c>
      <c r="K180" t="s">
        <v>27</v>
      </c>
    </row>
    <row r="181" spans="1:11" x14ac:dyDescent="0.3">
      <c r="A181">
        <v>1179</v>
      </c>
      <c r="B181" s="1">
        <v>46086</v>
      </c>
      <c r="C181" s="3">
        <v>0.89444444444444438</v>
      </c>
      <c r="D181" s="2">
        <f>tb_dados[[#This Row],[Data]]+tb_dados[[#This Row],[Hora]]</f>
        <v>46086.894444444442</v>
      </c>
      <c r="E181" t="s">
        <v>12</v>
      </c>
      <c r="F181" t="s">
        <v>15</v>
      </c>
      <c r="G181" t="s">
        <v>19</v>
      </c>
      <c r="H181" s="4">
        <v>850</v>
      </c>
      <c r="I181" s="5">
        <v>1</v>
      </c>
      <c r="K181" t="s">
        <v>27</v>
      </c>
    </row>
    <row r="182" spans="1:11" x14ac:dyDescent="0.3">
      <c r="A182">
        <v>1180</v>
      </c>
      <c r="B182" s="1">
        <v>46090</v>
      </c>
      <c r="C182" s="3">
        <v>0.6743055555555556</v>
      </c>
      <c r="D182" s="2">
        <f>tb_dados[[#This Row],[Data]]+tb_dados[[#This Row],[Hora]]</f>
        <v>46090.674305555556</v>
      </c>
      <c r="E182" t="s">
        <v>11</v>
      </c>
      <c r="F182" t="s">
        <v>13</v>
      </c>
      <c r="G182" t="s">
        <v>21</v>
      </c>
      <c r="H182" s="4">
        <v>350</v>
      </c>
      <c r="I182" s="5">
        <v>2</v>
      </c>
      <c r="K182" t="s">
        <v>25</v>
      </c>
    </row>
    <row r="183" spans="1:11" x14ac:dyDescent="0.3">
      <c r="A183">
        <v>1181</v>
      </c>
      <c r="B183" s="1">
        <v>46090</v>
      </c>
      <c r="C183" s="3">
        <v>0.81874999999999998</v>
      </c>
      <c r="D183" s="2">
        <f>tb_dados[[#This Row],[Data]]+tb_dados[[#This Row],[Hora]]</f>
        <v>46090.818749999999</v>
      </c>
      <c r="E183" t="s">
        <v>12</v>
      </c>
      <c r="F183" t="s">
        <v>16</v>
      </c>
      <c r="G183" t="s">
        <v>20</v>
      </c>
      <c r="H183" s="4">
        <v>420</v>
      </c>
      <c r="I183" s="5">
        <v>3</v>
      </c>
      <c r="K183" t="s">
        <v>26</v>
      </c>
    </row>
    <row r="184" spans="1:11" x14ac:dyDescent="0.3">
      <c r="A184">
        <v>1182</v>
      </c>
      <c r="B184" s="1">
        <v>46082</v>
      </c>
      <c r="C184" s="3">
        <v>0.43611111111111112</v>
      </c>
      <c r="D184" s="2">
        <f>tb_dados[[#This Row],[Data]]+tb_dados[[#This Row],[Hora]]</f>
        <v>46082.436111111114</v>
      </c>
      <c r="E184" t="s">
        <v>11</v>
      </c>
      <c r="F184" t="s">
        <v>14</v>
      </c>
      <c r="G184" t="s">
        <v>24</v>
      </c>
      <c r="H184" s="4">
        <v>280</v>
      </c>
      <c r="I184" s="5">
        <v>3</v>
      </c>
      <c r="K184" t="s">
        <v>27</v>
      </c>
    </row>
    <row r="185" spans="1:11" x14ac:dyDescent="0.3">
      <c r="A185">
        <v>1183</v>
      </c>
      <c r="B185" s="1">
        <v>46089</v>
      </c>
      <c r="C185" s="3">
        <v>0.35902777777777778</v>
      </c>
      <c r="D185" s="2">
        <f>tb_dados[[#This Row],[Data]]+tb_dados[[#This Row],[Hora]]</f>
        <v>46089.359027777777</v>
      </c>
      <c r="E185" t="s">
        <v>11</v>
      </c>
      <c r="F185" t="s">
        <v>16</v>
      </c>
      <c r="G185" t="s">
        <v>18</v>
      </c>
      <c r="H185" s="4">
        <v>120</v>
      </c>
      <c r="I185" s="5">
        <v>2</v>
      </c>
      <c r="K185" t="s">
        <v>28</v>
      </c>
    </row>
    <row r="186" spans="1:11" x14ac:dyDescent="0.3">
      <c r="A186">
        <v>1184</v>
      </c>
      <c r="B186" s="1">
        <v>46085</v>
      </c>
      <c r="C186" s="3">
        <v>0.87847222222222221</v>
      </c>
      <c r="D186" s="2">
        <f>tb_dados[[#This Row],[Data]]+tb_dados[[#This Row],[Hora]]</f>
        <v>46085.878472222219</v>
      </c>
      <c r="E186" t="s">
        <v>10</v>
      </c>
      <c r="F186" t="s">
        <v>14</v>
      </c>
      <c r="G186" t="s">
        <v>23</v>
      </c>
      <c r="H186" s="4">
        <v>4500</v>
      </c>
      <c r="I186" s="5">
        <v>2</v>
      </c>
      <c r="K186" t="s">
        <v>25</v>
      </c>
    </row>
    <row r="187" spans="1:11" x14ac:dyDescent="0.3">
      <c r="A187">
        <v>1185</v>
      </c>
      <c r="B187" s="1">
        <v>46089</v>
      </c>
      <c r="C187" s="3">
        <v>0.74097222222222225</v>
      </c>
      <c r="D187" s="2">
        <f>tb_dados[[#This Row],[Data]]+tb_dados[[#This Row],[Hora]]</f>
        <v>46089.740972222222</v>
      </c>
      <c r="E187" t="s">
        <v>10</v>
      </c>
      <c r="F187" t="s">
        <v>14</v>
      </c>
      <c r="G187" t="s">
        <v>22</v>
      </c>
      <c r="H187" s="4">
        <v>2100</v>
      </c>
      <c r="I187" s="5">
        <v>1</v>
      </c>
      <c r="K187" t="s">
        <v>27</v>
      </c>
    </row>
    <row r="188" spans="1:11" x14ac:dyDescent="0.3">
      <c r="A188">
        <v>1186</v>
      </c>
      <c r="B188" s="1">
        <v>46099</v>
      </c>
      <c r="C188" s="3">
        <v>0.65208333333333335</v>
      </c>
      <c r="D188" s="2">
        <f>tb_dados[[#This Row],[Data]]+tb_dados[[#This Row],[Hora]]</f>
        <v>46099.652083333334</v>
      </c>
      <c r="E188" t="s">
        <v>12</v>
      </c>
      <c r="F188" t="s">
        <v>13</v>
      </c>
      <c r="G188" t="s">
        <v>20</v>
      </c>
      <c r="H188" s="4">
        <v>420</v>
      </c>
      <c r="I188" s="5">
        <v>3</v>
      </c>
      <c r="K188" t="s">
        <v>27</v>
      </c>
    </row>
    <row r="189" spans="1:11" x14ac:dyDescent="0.3">
      <c r="A189">
        <v>1187</v>
      </c>
      <c r="B189" s="1">
        <v>46106</v>
      </c>
      <c r="C189" s="3">
        <v>0.77013888888888893</v>
      </c>
      <c r="D189" s="2">
        <f>tb_dados[[#This Row],[Data]]+tb_dados[[#This Row],[Hora]]</f>
        <v>46106.770138888889</v>
      </c>
      <c r="E189" t="s">
        <v>12</v>
      </c>
      <c r="F189" t="s">
        <v>13</v>
      </c>
      <c r="G189" t="s">
        <v>19</v>
      </c>
      <c r="H189" s="4">
        <v>850</v>
      </c>
      <c r="I189" s="5">
        <v>2</v>
      </c>
      <c r="K189" t="s">
        <v>26</v>
      </c>
    </row>
    <row r="190" spans="1:11" x14ac:dyDescent="0.3">
      <c r="A190">
        <v>1188</v>
      </c>
      <c r="B190" s="1">
        <v>46085</v>
      </c>
      <c r="C190" s="3">
        <v>0.84097222222222223</v>
      </c>
      <c r="D190" s="2">
        <f>tb_dados[[#This Row],[Data]]+tb_dados[[#This Row],[Hora]]</f>
        <v>46085.84097222222</v>
      </c>
      <c r="E190" t="s">
        <v>10</v>
      </c>
      <c r="F190" t="s">
        <v>14</v>
      </c>
      <c r="G190" t="s">
        <v>23</v>
      </c>
      <c r="H190" s="4">
        <v>4500</v>
      </c>
      <c r="I190" s="5">
        <v>1</v>
      </c>
      <c r="K190" t="s">
        <v>27</v>
      </c>
    </row>
    <row r="191" spans="1:11" x14ac:dyDescent="0.3">
      <c r="A191">
        <v>1189</v>
      </c>
      <c r="B191" s="1">
        <v>46097</v>
      </c>
      <c r="C191" s="3">
        <v>0.55347222222222225</v>
      </c>
      <c r="D191" s="2">
        <f>tb_dados[[#This Row],[Data]]+tb_dados[[#This Row],[Hora]]</f>
        <v>46097.553472222222</v>
      </c>
      <c r="E191" t="s">
        <v>11</v>
      </c>
      <c r="F191" t="s">
        <v>15</v>
      </c>
      <c r="G191" t="s">
        <v>18</v>
      </c>
      <c r="H191" s="4">
        <v>120</v>
      </c>
      <c r="I191" s="5">
        <v>1</v>
      </c>
      <c r="K191" t="s">
        <v>27</v>
      </c>
    </row>
    <row r="192" spans="1:11" x14ac:dyDescent="0.3">
      <c r="A192">
        <v>1190</v>
      </c>
      <c r="B192" s="1">
        <v>46081</v>
      </c>
      <c r="C192" s="3">
        <v>0.6020833333333333</v>
      </c>
      <c r="D192" s="2">
        <f>tb_dados[[#This Row],[Data]]+tb_dados[[#This Row],[Hora]]</f>
        <v>46081.602083333331</v>
      </c>
      <c r="E192" t="s">
        <v>11</v>
      </c>
      <c r="F192" t="s">
        <v>15</v>
      </c>
      <c r="G192" t="s">
        <v>24</v>
      </c>
      <c r="H192" s="4">
        <v>280</v>
      </c>
      <c r="I192" s="5">
        <v>2</v>
      </c>
      <c r="K192" t="s">
        <v>27</v>
      </c>
    </row>
    <row r="193" spans="1:11" x14ac:dyDescent="0.3">
      <c r="A193">
        <v>1191</v>
      </c>
      <c r="B193" s="1">
        <v>46098</v>
      </c>
      <c r="C193" s="3">
        <v>0.85486111111111107</v>
      </c>
      <c r="D193" s="2">
        <f>tb_dados[[#This Row],[Data]]+tb_dados[[#This Row],[Hora]]</f>
        <v>46098.854861111111</v>
      </c>
      <c r="E193" t="s">
        <v>10</v>
      </c>
      <c r="F193" t="s">
        <v>13</v>
      </c>
      <c r="G193" t="s">
        <v>23</v>
      </c>
      <c r="H193" s="4">
        <v>4500</v>
      </c>
      <c r="I193" s="5">
        <v>1</v>
      </c>
      <c r="K193" t="s">
        <v>28</v>
      </c>
    </row>
    <row r="194" spans="1:11" x14ac:dyDescent="0.3">
      <c r="A194">
        <v>1192</v>
      </c>
      <c r="B194" s="1">
        <v>46099</v>
      </c>
      <c r="C194" s="3">
        <v>0.59097222222222223</v>
      </c>
      <c r="D194" s="2">
        <f>tb_dados[[#This Row],[Data]]+tb_dados[[#This Row],[Hora]]</f>
        <v>46099.59097222222</v>
      </c>
      <c r="E194" t="s">
        <v>11</v>
      </c>
      <c r="F194" t="s">
        <v>14</v>
      </c>
      <c r="G194" t="s">
        <v>24</v>
      </c>
      <c r="H194" s="4">
        <v>280</v>
      </c>
      <c r="I194" s="5">
        <v>1</v>
      </c>
      <c r="K194" t="s">
        <v>25</v>
      </c>
    </row>
    <row r="195" spans="1:11" x14ac:dyDescent="0.3">
      <c r="A195">
        <v>1193</v>
      </c>
      <c r="B195" s="1">
        <v>46087</v>
      </c>
      <c r="C195" s="3">
        <v>0.51874999999999993</v>
      </c>
      <c r="D195" s="2">
        <f>tb_dados[[#This Row],[Data]]+tb_dados[[#This Row],[Hora]]</f>
        <v>46087.518750000003</v>
      </c>
      <c r="E195" t="s">
        <v>12</v>
      </c>
      <c r="F195" t="s">
        <v>14</v>
      </c>
      <c r="G195" t="s">
        <v>20</v>
      </c>
      <c r="H195" s="4">
        <v>420</v>
      </c>
      <c r="I195" s="5">
        <v>1</v>
      </c>
      <c r="K195" t="s">
        <v>28</v>
      </c>
    </row>
    <row r="196" spans="1:11" x14ac:dyDescent="0.3">
      <c r="A196">
        <v>1194</v>
      </c>
      <c r="B196" s="1">
        <v>46107</v>
      </c>
      <c r="C196" s="3">
        <v>0.37777777777777777</v>
      </c>
      <c r="D196" s="2">
        <f>tb_dados[[#This Row],[Data]]+tb_dados[[#This Row],[Hora]]</f>
        <v>46107.37777777778</v>
      </c>
      <c r="E196" t="s">
        <v>12</v>
      </c>
      <c r="F196" t="s">
        <v>13</v>
      </c>
      <c r="G196" t="s">
        <v>19</v>
      </c>
      <c r="H196" s="4">
        <v>850</v>
      </c>
      <c r="I196" s="5">
        <v>2</v>
      </c>
      <c r="K196" t="s">
        <v>28</v>
      </c>
    </row>
    <row r="197" spans="1:11" x14ac:dyDescent="0.3">
      <c r="A197">
        <v>1195</v>
      </c>
      <c r="B197" s="1">
        <v>46093</v>
      </c>
      <c r="C197" s="3">
        <v>0.8930555555555556</v>
      </c>
      <c r="D197" s="2">
        <f>tb_dados[[#This Row],[Data]]+tb_dados[[#This Row],[Hora]]</f>
        <v>46093.893055555556</v>
      </c>
      <c r="E197" t="s">
        <v>10</v>
      </c>
      <c r="F197" t="s">
        <v>14</v>
      </c>
      <c r="G197" t="s">
        <v>22</v>
      </c>
      <c r="H197" s="4">
        <v>2100</v>
      </c>
      <c r="I197" s="5">
        <v>1</v>
      </c>
      <c r="K197" t="s">
        <v>26</v>
      </c>
    </row>
    <row r="198" spans="1:11" x14ac:dyDescent="0.3">
      <c r="A198">
        <v>1196</v>
      </c>
      <c r="B198" s="1">
        <v>46108</v>
      </c>
      <c r="C198" s="3">
        <v>0.88888888888888884</v>
      </c>
      <c r="D198" s="2">
        <f>tb_dados[[#This Row],[Data]]+tb_dados[[#This Row],[Hora]]</f>
        <v>46108.888888888891</v>
      </c>
      <c r="E198" t="s">
        <v>10</v>
      </c>
      <c r="F198" t="s">
        <v>14</v>
      </c>
      <c r="G198" t="s">
        <v>17</v>
      </c>
      <c r="H198" s="4">
        <v>900</v>
      </c>
      <c r="I198" s="5">
        <v>3</v>
      </c>
      <c r="K198" t="s">
        <v>28</v>
      </c>
    </row>
    <row r="199" spans="1:11" x14ac:dyDescent="0.3">
      <c r="A199">
        <v>1197</v>
      </c>
      <c r="B199" s="1">
        <v>46078</v>
      </c>
      <c r="C199" s="3">
        <v>0.76527777777777783</v>
      </c>
      <c r="D199" s="2">
        <f>tb_dados[[#This Row],[Data]]+tb_dados[[#This Row],[Hora]]</f>
        <v>46078.765277777777</v>
      </c>
      <c r="E199" t="s">
        <v>11</v>
      </c>
      <c r="F199" t="s">
        <v>16</v>
      </c>
      <c r="G199" t="s">
        <v>21</v>
      </c>
      <c r="H199" s="4">
        <v>350</v>
      </c>
      <c r="I199" s="5">
        <v>3</v>
      </c>
      <c r="K199" t="s">
        <v>28</v>
      </c>
    </row>
    <row r="200" spans="1:11" x14ac:dyDescent="0.3">
      <c r="A200">
        <v>1198</v>
      </c>
      <c r="B200" s="1">
        <v>46095</v>
      </c>
      <c r="C200" s="3">
        <v>0.63680555555555551</v>
      </c>
      <c r="D200" s="2">
        <f>tb_dados[[#This Row],[Data]]+tb_dados[[#This Row],[Hora]]</f>
        <v>46095.636805555558</v>
      </c>
      <c r="E200" t="s">
        <v>10</v>
      </c>
      <c r="F200" t="s">
        <v>13</v>
      </c>
      <c r="G200" t="s">
        <v>22</v>
      </c>
      <c r="H200" s="4">
        <v>2100</v>
      </c>
      <c r="I200" s="5">
        <v>1</v>
      </c>
      <c r="K200" t="s">
        <v>28</v>
      </c>
    </row>
    <row r="201" spans="1:11" x14ac:dyDescent="0.3">
      <c r="A201">
        <v>1199</v>
      </c>
      <c r="B201" s="1">
        <v>46079</v>
      </c>
      <c r="C201" s="3">
        <v>0.87916666666666676</v>
      </c>
      <c r="D201" s="2">
        <f>tb_dados[[#This Row],[Data]]+tb_dados[[#This Row],[Hora]]</f>
        <v>46079.879166666666</v>
      </c>
      <c r="E201" t="s">
        <v>12</v>
      </c>
      <c r="F201" t="s">
        <v>16</v>
      </c>
      <c r="G201" t="s">
        <v>19</v>
      </c>
      <c r="H201" s="4">
        <v>850</v>
      </c>
      <c r="I201" s="5">
        <v>3</v>
      </c>
      <c r="K201" t="s">
        <v>25</v>
      </c>
    </row>
    <row r="202" spans="1:11" x14ac:dyDescent="0.3">
      <c r="A202">
        <v>1200</v>
      </c>
      <c r="B202" s="1">
        <v>46096</v>
      </c>
      <c r="C202" s="3">
        <v>0.52083333333333337</v>
      </c>
      <c r="D202" s="2">
        <f>tb_dados[[#This Row],[Data]]+tb_dados[[#This Row],[Hora]]</f>
        <v>46096.520833333336</v>
      </c>
      <c r="E202" t="s">
        <v>12</v>
      </c>
      <c r="F202" t="s">
        <v>13</v>
      </c>
      <c r="G202" t="s">
        <v>19</v>
      </c>
      <c r="H202" s="4">
        <v>850</v>
      </c>
      <c r="I202" s="5">
        <v>1</v>
      </c>
      <c r="K202" t="s">
        <v>25</v>
      </c>
    </row>
    <row r="203" spans="1:11" x14ac:dyDescent="0.3">
      <c r="A203">
        <v>1201</v>
      </c>
      <c r="B203" s="1">
        <v>46082</v>
      </c>
      <c r="C203" s="3">
        <v>0.79652777777777783</v>
      </c>
      <c r="D203" s="2">
        <f>tb_dados[[#This Row],[Data]]+tb_dados[[#This Row],[Hora]]</f>
        <v>46082.796527777777</v>
      </c>
      <c r="E203" t="s">
        <v>11</v>
      </c>
      <c r="F203" t="s">
        <v>16</v>
      </c>
      <c r="G203" t="s">
        <v>18</v>
      </c>
      <c r="H203" s="4">
        <v>120</v>
      </c>
      <c r="I203" s="5">
        <v>2</v>
      </c>
      <c r="K203" t="s">
        <v>28</v>
      </c>
    </row>
    <row r="204" spans="1:11" x14ac:dyDescent="0.3">
      <c r="A204">
        <v>1202</v>
      </c>
      <c r="B204" s="1">
        <v>46089</v>
      </c>
      <c r="C204" s="3">
        <v>0.40833333333333338</v>
      </c>
      <c r="D204" s="2">
        <f>tb_dados[[#This Row],[Data]]+tb_dados[[#This Row],[Hora]]</f>
        <v>46089.408333333333</v>
      </c>
      <c r="E204" t="s">
        <v>10</v>
      </c>
      <c r="F204" t="s">
        <v>13</v>
      </c>
      <c r="G204" t="s">
        <v>22</v>
      </c>
      <c r="H204" s="4">
        <v>2100</v>
      </c>
      <c r="I204" s="5">
        <v>1</v>
      </c>
      <c r="K204" t="s">
        <v>26</v>
      </c>
    </row>
    <row r="205" spans="1:11" x14ac:dyDescent="0.3">
      <c r="A205">
        <v>1203</v>
      </c>
      <c r="B205" s="1">
        <v>46088</v>
      </c>
      <c r="C205" s="3">
        <v>0.81944444444444453</v>
      </c>
      <c r="D205" s="2">
        <f>tb_dados[[#This Row],[Data]]+tb_dados[[#This Row],[Hora]]</f>
        <v>46088.819444444445</v>
      </c>
      <c r="E205" t="s">
        <v>10</v>
      </c>
      <c r="F205" t="s">
        <v>16</v>
      </c>
      <c r="G205" t="s">
        <v>22</v>
      </c>
      <c r="H205" s="4">
        <v>2100</v>
      </c>
      <c r="I205" s="5">
        <v>2</v>
      </c>
      <c r="K205" t="s">
        <v>26</v>
      </c>
    </row>
    <row r="206" spans="1:11" x14ac:dyDescent="0.3">
      <c r="A206">
        <v>1204</v>
      </c>
      <c r="B206" s="1">
        <v>46081</v>
      </c>
      <c r="C206" s="3">
        <v>0.50624999999999998</v>
      </c>
      <c r="D206" s="2">
        <f>tb_dados[[#This Row],[Data]]+tb_dados[[#This Row],[Hora]]</f>
        <v>46081.506249999999</v>
      </c>
      <c r="E206" t="s">
        <v>10</v>
      </c>
      <c r="F206" t="s">
        <v>13</v>
      </c>
      <c r="G206" t="s">
        <v>22</v>
      </c>
      <c r="H206" s="4">
        <v>2100</v>
      </c>
      <c r="I206" s="5">
        <v>2</v>
      </c>
      <c r="K206" t="s">
        <v>26</v>
      </c>
    </row>
    <row r="207" spans="1:11" x14ac:dyDescent="0.3">
      <c r="A207">
        <v>1205</v>
      </c>
      <c r="B207" s="1">
        <v>46087</v>
      </c>
      <c r="C207" s="3">
        <v>0.79305555555555562</v>
      </c>
      <c r="D207" s="2">
        <f>tb_dados[[#This Row],[Data]]+tb_dados[[#This Row],[Hora]]</f>
        <v>46087.793055555558</v>
      </c>
      <c r="E207" t="s">
        <v>11</v>
      </c>
      <c r="F207" t="s">
        <v>13</v>
      </c>
      <c r="G207" t="s">
        <v>18</v>
      </c>
      <c r="H207" s="4">
        <v>120</v>
      </c>
      <c r="I207" s="5">
        <v>1</v>
      </c>
      <c r="K207" t="s">
        <v>26</v>
      </c>
    </row>
    <row r="208" spans="1:11" x14ac:dyDescent="0.3">
      <c r="A208">
        <v>1206</v>
      </c>
      <c r="B208" s="1">
        <v>46107</v>
      </c>
      <c r="C208" s="3">
        <v>0.55694444444444446</v>
      </c>
      <c r="D208" s="2">
        <f>tb_dados[[#This Row],[Data]]+tb_dados[[#This Row],[Hora]]</f>
        <v>46107.556944444441</v>
      </c>
      <c r="E208" t="s">
        <v>11</v>
      </c>
      <c r="F208" t="s">
        <v>15</v>
      </c>
      <c r="G208" t="s">
        <v>24</v>
      </c>
      <c r="H208" s="4">
        <v>280</v>
      </c>
      <c r="I208" s="5">
        <v>2</v>
      </c>
      <c r="K208" t="s">
        <v>26</v>
      </c>
    </row>
    <row r="209" spans="1:11" x14ac:dyDescent="0.3">
      <c r="A209">
        <v>1207</v>
      </c>
      <c r="B209" s="1">
        <v>46090</v>
      </c>
      <c r="C209" s="3">
        <v>0.875</v>
      </c>
      <c r="D209" s="2">
        <f>tb_dados[[#This Row],[Data]]+tb_dados[[#This Row],[Hora]]</f>
        <v>46090.875</v>
      </c>
      <c r="E209" t="s">
        <v>12</v>
      </c>
      <c r="F209" t="s">
        <v>16</v>
      </c>
      <c r="G209" t="s">
        <v>20</v>
      </c>
      <c r="H209" s="4">
        <v>420</v>
      </c>
      <c r="I209" s="5">
        <v>2</v>
      </c>
      <c r="K209" t="s">
        <v>27</v>
      </c>
    </row>
    <row r="210" spans="1:11" x14ac:dyDescent="0.3">
      <c r="A210">
        <v>1208</v>
      </c>
      <c r="B210" s="1">
        <v>46088</v>
      </c>
      <c r="C210" s="3">
        <v>0.89236111111111116</v>
      </c>
      <c r="D210" s="2">
        <f>tb_dados[[#This Row],[Data]]+tb_dados[[#This Row],[Hora]]</f>
        <v>46088.892361111109</v>
      </c>
      <c r="E210" t="s">
        <v>11</v>
      </c>
      <c r="F210" t="s">
        <v>16</v>
      </c>
      <c r="G210" t="s">
        <v>21</v>
      </c>
      <c r="H210" s="4">
        <v>350</v>
      </c>
      <c r="I210" s="5">
        <v>1</v>
      </c>
      <c r="K210" t="s">
        <v>26</v>
      </c>
    </row>
    <row r="211" spans="1:11" x14ac:dyDescent="0.3">
      <c r="A211">
        <v>1209</v>
      </c>
      <c r="B211" s="1">
        <v>46092</v>
      </c>
      <c r="C211" s="3">
        <v>0.71805555555555556</v>
      </c>
      <c r="D211" s="2">
        <f>tb_dados[[#This Row],[Data]]+tb_dados[[#This Row],[Hora]]</f>
        <v>46092.718055555553</v>
      </c>
      <c r="E211" t="s">
        <v>12</v>
      </c>
      <c r="F211" t="s">
        <v>15</v>
      </c>
      <c r="G211" t="s">
        <v>19</v>
      </c>
      <c r="H211" s="4">
        <v>850</v>
      </c>
      <c r="I211" s="5">
        <v>2</v>
      </c>
      <c r="K211" t="s">
        <v>27</v>
      </c>
    </row>
    <row r="212" spans="1:11" x14ac:dyDescent="0.3">
      <c r="A212">
        <v>1210</v>
      </c>
      <c r="B212" s="1">
        <v>46106</v>
      </c>
      <c r="C212" s="3">
        <v>0.8979166666666667</v>
      </c>
      <c r="D212" s="2">
        <f>tb_dados[[#This Row],[Data]]+tb_dados[[#This Row],[Hora]]</f>
        <v>46106.897916666669</v>
      </c>
      <c r="E212" t="s">
        <v>11</v>
      </c>
      <c r="F212" t="s">
        <v>13</v>
      </c>
      <c r="G212" t="s">
        <v>21</v>
      </c>
      <c r="H212" s="4">
        <v>350</v>
      </c>
      <c r="I212" s="5">
        <v>1</v>
      </c>
      <c r="K212" t="s">
        <v>26</v>
      </c>
    </row>
    <row r="213" spans="1:11" x14ac:dyDescent="0.3">
      <c r="A213">
        <v>1211</v>
      </c>
      <c r="B213" s="1">
        <v>46097</v>
      </c>
      <c r="C213" s="3">
        <v>0.79513888888888884</v>
      </c>
      <c r="D213" s="2">
        <f>tb_dados[[#This Row],[Data]]+tb_dados[[#This Row],[Hora]]</f>
        <v>46097.795138888891</v>
      </c>
      <c r="E213" t="s">
        <v>12</v>
      </c>
      <c r="F213" t="s">
        <v>16</v>
      </c>
      <c r="G213" t="s">
        <v>20</v>
      </c>
      <c r="H213" s="4">
        <v>420</v>
      </c>
      <c r="I213" s="5">
        <v>2</v>
      </c>
      <c r="K213" t="s">
        <v>25</v>
      </c>
    </row>
    <row r="214" spans="1:11" x14ac:dyDescent="0.3">
      <c r="A214">
        <v>1212</v>
      </c>
      <c r="B214" s="1">
        <v>46105</v>
      </c>
      <c r="C214" s="3">
        <v>0.65277777777777779</v>
      </c>
      <c r="D214" s="2">
        <f>tb_dados[[#This Row],[Data]]+tb_dados[[#This Row],[Hora]]</f>
        <v>46105.652777777781</v>
      </c>
      <c r="E214" t="s">
        <v>11</v>
      </c>
      <c r="F214" t="s">
        <v>13</v>
      </c>
      <c r="G214" t="s">
        <v>21</v>
      </c>
      <c r="H214" s="4">
        <v>350</v>
      </c>
      <c r="I214" s="5">
        <v>2</v>
      </c>
      <c r="K214" t="s">
        <v>25</v>
      </c>
    </row>
    <row r="215" spans="1:11" x14ac:dyDescent="0.3">
      <c r="A215">
        <v>1213</v>
      </c>
      <c r="B215" s="1">
        <v>46101</v>
      </c>
      <c r="C215" s="3">
        <v>0.85486111111111107</v>
      </c>
      <c r="D215" s="2">
        <f>tb_dados[[#This Row],[Data]]+tb_dados[[#This Row],[Hora]]</f>
        <v>46101.854861111111</v>
      </c>
      <c r="E215" t="s">
        <v>12</v>
      </c>
      <c r="F215" t="s">
        <v>15</v>
      </c>
      <c r="G215" t="s">
        <v>20</v>
      </c>
      <c r="H215" s="4">
        <v>420</v>
      </c>
      <c r="I215" s="5">
        <v>1</v>
      </c>
      <c r="K215" t="s">
        <v>27</v>
      </c>
    </row>
    <row r="216" spans="1:11" x14ac:dyDescent="0.3">
      <c r="A216">
        <v>1214</v>
      </c>
      <c r="B216" s="1">
        <v>46098</v>
      </c>
      <c r="C216" s="3">
        <v>0.92569444444444438</v>
      </c>
      <c r="D216" s="2">
        <f>tb_dados[[#This Row],[Data]]+tb_dados[[#This Row],[Hora]]</f>
        <v>46098.925694444442</v>
      </c>
      <c r="E216" t="s">
        <v>12</v>
      </c>
      <c r="F216" t="s">
        <v>15</v>
      </c>
      <c r="G216" t="s">
        <v>20</v>
      </c>
      <c r="H216" s="4">
        <v>420</v>
      </c>
      <c r="I216" s="5">
        <v>2</v>
      </c>
      <c r="K216" t="s">
        <v>25</v>
      </c>
    </row>
    <row r="217" spans="1:11" x14ac:dyDescent="0.3">
      <c r="A217">
        <v>1215</v>
      </c>
      <c r="B217" s="1">
        <v>46107</v>
      </c>
      <c r="C217" s="3">
        <v>0.6875</v>
      </c>
      <c r="D217" s="2">
        <f>tb_dados[[#This Row],[Data]]+tb_dados[[#This Row],[Hora]]</f>
        <v>46107.6875</v>
      </c>
      <c r="E217" t="s">
        <v>11</v>
      </c>
      <c r="F217" t="s">
        <v>14</v>
      </c>
      <c r="G217" t="s">
        <v>24</v>
      </c>
      <c r="H217" s="4">
        <v>280</v>
      </c>
      <c r="I217" s="5">
        <v>3</v>
      </c>
      <c r="K217" t="s">
        <v>26</v>
      </c>
    </row>
    <row r="218" spans="1:11" x14ac:dyDescent="0.3">
      <c r="A218">
        <v>1216</v>
      </c>
      <c r="B218" s="1">
        <v>46090</v>
      </c>
      <c r="C218" s="3">
        <v>0.48888888888888887</v>
      </c>
      <c r="D218" s="2">
        <f>tb_dados[[#This Row],[Data]]+tb_dados[[#This Row],[Hora]]</f>
        <v>46090.488888888889</v>
      </c>
      <c r="E218" t="s">
        <v>11</v>
      </c>
      <c r="F218" t="s">
        <v>13</v>
      </c>
      <c r="G218" t="s">
        <v>18</v>
      </c>
      <c r="H218" s="4">
        <v>120</v>
      </c>
      <c r="I218" s="5">
        <v>2</v>
      </c>
      <c r="K218" t="s">
        <v>25</v>
      </c>
    </row>
    <row r="219" spans="1:11" x14ac:dyDescent="0.3">
      <c r="A219">
        <v>1217</v>
      </c>
      <c r="B219" s="1">
        <v>46090</v>
      </c>
      <c r="C219" s="3">
        <v>0.93333333333333324</v>
      </c>
      <c r="D219" s="2">
        <f>tb_dados[[#This Row],[Data]]+tb_dados[[#This Row],[Hora]]</f>
        <v>46090.933333333334</v>
      </c>
      <c r="E219" t="s">
        <v>12</v>
      </c>
      <c r="F219" t="s">
        <v>15</v>
      </c>
      <c r="G219" t="s">
        <v>19</v>
      </c>
      <c r="H219" s="4">
        <v>850</v>
      </c>
      <c r="I219" s="5">
        <v>2</v>
      </c>
      <c r="K219" t="s">
        <v>28</v>
      </c>
    </row>
    <row r="220" spans="1:11" x14ac:dyDescent="0.3">
      <c r="A220">
        <v>1218</v>
      </c>
      <c r="B220" s="1">
        <v>46092</v>
      </c>
      <c r="C220" s="3">
        <v>0.43611111111111112</v>
      </c>
      <c r="D220" s="2">
        <f>tb_dados[[#This Row],[Data]]+tb_dados[[#This Row],[Hora]]</f>
        <v>46092.436111111114</v>
      </c>
      <c r="E220" t="s">
        <v>12</v>
      </c>
      <c r="F220" t="s">
        <v>16</v>
      </c>
      <c r="G220" t="s">
        <v>20</v>
      </c>
      <c r="H220" s="4">
        <v>420</v>
      </c>
      <c r="I220" s="5">
        <v>3</v>
      </c>
      <c r="K220" t="s">
        <v>28</v>
      </c>
    </row>
    <row r="221" spans="1:11" x14ac:dyDescent="0.3">
      <c r="A221">
        <v>1219</v>
      </c>
      <c r="B221" s="1">
        <v>46084</v>
      </c>
      <c r="C221" s="3">
        <v>0.39583333333333331</v>
      </c>
      <c r="D221" s="2">
        <f>tb_dados[[#This Row],[Data]]+tb_dados[[#This Row],[Hora]]</f>
        <v>46084.395833333336</v>
      </c>
      <c r="E221" t="s">
        <v>11</v>
      </c>
      <c r="F221" t="s">
        <v>13</v>
      </c>
      <c r="G221" t="s">
        <v>24</v>
      </c>
      <c r="H221" s="4">
        <v>280</v>
      </c>
      <c r="I221" s="5">
        <v>2</v>
      </c>
      <c r="K221" t="s">
        <v>25</v>
      </c>
    </row>
    <row r="222" spans="1:11" x14ac:dyDescent="0.3">
      <c r="A222">
        <v>1220</v>
      </c>
      <c r="B222" s="1">
        <v>46102</v>
      </c>
      <c r="C222" s="3">
        <v>0.58958333333333335</v>
      </c>
      <c r="D222" s="2">
        <f>tb_dados[[#This Row],[Data]]+tb_dados[[#This Row],[Hora]]</f>
        <v>46102.589583333334</v>
      </c>
      <c r="E222" t="s">
        <v>10</v>
      </c>
      <c r="F222" t="s">
        <v>14</v>
      </c>
      <c r="G222" t="s">
        <v>23</v>
      </c>
      <c r="H222" s="4">
        <v>4500</v>
      </c>
      <c r="I222" s="5">
        <v>2</v>
      </c>
      <c r="K222" t="s">
        <v>26</v>
      </c>
    </row>
    <row r="223" spans="1:11" x14ac:dyDescent="0.3">
      <c r="A223">
        <v>1221</v>
      </c>
      <c r="B223" s="1">
        <v>46104</v>
      </c>
      <c r="C223" s="3">
        <v>0.75486111111111109</v>
      </c>
      <c r="D223" s="2">
        <f>tb_dados[[#This Row],[Data]]+tb_dados[[#This Row],[Hora]]</f>
        <v>46104.754861111112</v>
      </c>
      <c r="E223" t="s">
        <v>11</v>
      </c>
      <c r="F223" t="s">
        <v>15</v>
      </c>
      <c r="G223" t="s">
        <v>18</v>
      </c>
      <c r="H223" s="4">
        <v>120</v>
      </c>
      <c r="I223" s="5">
        <v>1</v>
      </c>
      <c r="K223" t="s">
        <v>25</v>
      </c>
    </row>
    <row r="224" spans="1:11" x14ac:dyDescent="0.3">
      <c r="A224">
        <v>1222</v>
      </c>
      <c r="B224" s="1">
        <v>46085</v>
      </c>
      <c r="C224" s="3">
        <v>0.59027777777777779</v>
      </c>
      <c r="D224" s="2">
        <f>tb_dados[[#This Row],[Data]]+tb_dados[[#This Row],[Hora]]</f>
        <v>46085.590277777781</v>
      </c>
      <c r="E224" t="s">
        <v>11</v>
      </c>
      <c r="F224" t="s">
        <v>16</v>
      </c>
      <c r="G224" t="s">
        <v>21</v>
      </c>
      <c r="H224" s="4">
        <v>350</v>
      </c>
      <c r="I224" s="5">
        <v>1</v>
      </c>
      <c r="K224" t="s">
        <v>27</v>
      </c>
    </row>
    <row r="225" spans="1:11" x14ac:dyDescent="0.3">
      <c r="A225">
        <v>1223</v>
      </c>
      <c r="B225" s="1">
        <v>46082</v>
      </c>
      <c r="C225" s="3">
        <v>0.51527777777777783</v>
      </c>
      <c r="D225" s="2">
        <f>tb_dados[[#This Row],[Data]]+tb_dados[[#This Row],[Hora]]</f>
        <v>46082.515277777777</v>
      </c>
      <c r="E225" t="s">
        <v>12</v>
      </c>
      <c r="F225" t="s">
        <v>16</v>
      </c>
      <c r="G225" t="s">
        <v>19</v>
      </c>
      <c r="H225" s="4">
        <v>850</v>
      </c>
      <c r="I225" s="5">
        <v>2</v>
      </c>
      <c r="K225" t="s">
        <v>27</v>
      </c>
    </row>
    <row r="226" spans="1:11" x14ac:dyDescent="0.3">
      <c r="A226">
        <v>1224</v>
      </c>
      <c r="B226" s="1">
        <v>46098</v>
      </c>
      <c r="C226" s="3">
        <v>0.66527777777777775</v>
      </c>
      <c r="D226" s="2">
        <f>tb_dados[[#This Row],[Data]]+tb_dados[[#This Row],[Hora]]</f>
        <v>46098.665277777778</v>
      </c>
      <c r="E226" t="s">
        <v>11</v>
      </c>
      <c r="F226" t="s">
        <v>14</v>
      </c>
      <c r="G226" t="s">
        <v>24</v>
      </c>
      <c r="H226" s="4">
        <v>280</v>
      </c>
      <c r="I226" s="5">
        <v>2</v>
      </c>
      <c r="K226" t="s">
        <v>25</v>
      </c>
    </row>
    <row r="227" spans="1:11" x14ac:dyDescent="0.3">
      <c r="A227">
        <v>1225</v>
      </c>
      <c r="B227" s="1">
        <v>46102</v>
      </c>
      <c r="C227" s="3">
        <v>0.55069444444444449</v>
      </c>
      <c r="D227" s="2">
        <f>tb_dados[[#This Row],[Data]]+tb_dados[[#This Row],[Hora]]</f>
        <v>46102.550694444442</v>
      </c>
      <c r="E227" t="s">
        <v>12</v>
      </c>
      <c r="F227" t="s">
        <v>15</v>
      </c>
      <c r="G227" t="s">
        <v>20</v>
      </c>
      <c r="H227" s="4">
        <v>420</v>
      </c>
      <c r="I227" s="5">
        <v>1</v>
      </c>
      <c r="K227" t="s">
        <v>28</v>
      </c>
    </row>
    <row r="228" spans="1:11" x14ac:dyDescent="0.3">
      <c r="A228">
        <v>1226</v>
      </c>
      <c r="B228" s="1">
        <v>46100</v>
      </c>
      <c r="C228" s="3">
        <v>0.6791666666666667</v>
      </c>
      <c r="D228" s="2">
        <f>tb_dados[[#This Row],[Data]]+tb_dados[[#This Row],[Hora]]</f>
        <v>46100.679166666669</v>
      </c>
      <c r="E228" t="s">
        <v>12</v>
      </c>
      <c r="F228" t="s">
        <v>15</v>
      </c>
      <c r="G228" t="s">
        <v>19</v>
      </c>
      <c r="H228" s="4">
        <v>850</v>
      </c>
      <c r="I228" s="5">
        <v>3</v>
      </c>
      <c r="K228" t="s">
        <v>25</v>
      </c>
    </row>
    <row r="229" spans="1:11" x14ac:dyDescent="0.3">
      <c r="A229">
        <v>1227</v>
      </c>
      <c r="B229" s="1">
        <v>46083</v>
      </c>
      <c r="C229" s="3">
        <v>0.93055555555555547</v>
      </c>
      <c r="D229" s="2">
        <f>tb_dados[[#This Row],[Data]]+tb_dados[[#This Row],[Hora]]</f>
        <v>46083.930555555555</v>
      </c>
      <c r="E229" t="s">
        <v>11</v>
      </c>
      <c r="F229" t="s">
        <v>14</v>
      </c>
      <c r="G229" t="s">
        <v>21</v>
      </c>
      <c r="H229" s="4">
        <v>350</v>
      </c>
      <c r="I229" s="5">
        <v>2</v>
      </c>
      <c r="K229" t="s">
        <v>26</v>
      </c>
    </row>
    <row r="230" spans="1:11" x14ac:dyDescent="0.3">
      <c r="A230">
        <v>1228</v>
      </c>
      <c r="B230" s="1">
        <v>46088</v>
      </c>
      <c r="C230" s="3">
        <v>0.72986111111111107</v>
      </c>
      <c r="D230" s="2">
        <f>tb_dados[[#This Row],[Data]]+tb_dados[[#This Row],[Hora]]</f>
        <v>46088.729861111111</v>
      </c>
      <c r="E230" t="s">
        <v>10</v>
      </c>
      <c r="F230" t="s">
        <v>14</v>
      </c>
      <c r="G230" t="s">
        <v>17</v>
      </c>
      <c r="H230" s="4">
        <v>900</v>
      </c>
      <c r="I230" s="5">
        <v>1</v>
      </c>
      <c r="K230" t="s">
        <v>27</v>
      </c>
    </row>
    <row r="231" spans="1:11" x14ac:dyDescent="0.3">
      <c r="A231">
        <v>1229</v>
      </c>
      <c r="B231" s="1">
        <v>46096</v>
      </c>
      <c r="C231" s="3">
        <v>0.92083333333333339</v>
      </c>
      <c r="D231" s="2">
        <f>tb_dados[[#This Row],[Data]]+tb_dados[[#This Row],[Hora]]</f>
        <v>46096.92083333333</v>
      </c>
      <c r="E231" t="s">
        <v>10</v>
      </c>
      <c r="F231" t="s">
        <v>16</v>
      </c>
      <c r="G231" t="s">
        <v>22</v>
      </c>
      <c r="H231" s="4">
        <v>2100</v>
      </c>
      <c r="I231" s="5">
        <v>2</v>
      </c>
      <c r="K231" t="s">
        <v>26</v>
      </c>
    </row>
    <row r="232" spans="1:11" x14ac:dyDescent="0.3">
      <c r="A232">
        <v>1230</v>
      </c>
      <c r="B232" s="1">
        <v>46081</v>
      </c>
      <c r="C232" s="3">
        <v>0.43194444444444446</v>
      </c>
      <c r="D232" s="2">
        <f>tb_dados[[#This Row],[Data]]+tb_dados[[#This Row],[Hora]]</f>
        <v>46081.431944444441</v>
      </c>
      <c r="E232" t="s">
        <v>12</v>
      </c>
      <c r="F232" t="s">
        <v>16</v>
      </c>
      <c r="G232" t="s">
        <v>19</v>
      </c>
      <c r="H232" s="4">
        <v>850</v>
      </c>
      <c r="I232" s="5">
        <v>3</v>
      </c>
      <c r="K232" t="s">
        <v>28</v>
      </c>
    </row>
    <row r="233" spans="1:11" x14ac:dyDescent="0.3">
      <c r="A233">
        <v>1231</v>
      </c>
      <c r="B233" s="1">
        <v>46108</v>
      </c>
      <c r="C233" s="3">
        <v>0.9159722222222223</v>
      </c>
      <c r="D233" s="2">
        <f>tb_dados[[#This Row],[Data]]+tb_dados[[#This Row],[Hora]]</f>
        <v>46108.915972222225</v>
      </c>
      <c r="E233" t="s">
        <v>11</v>
      </c>
      <c r="F233" t="s">
        <v>14</v>
      </c>
      <c r="G233" t="s">
        <v>18</v>
      </c>
      <c r="H233" s="4">
        <v>120</v>
      </c>
      <c r="I233" s="5">
        <v>2</v>
      </c>
      <c r="K233" t="s">
        <v>27</v>
      </c>
    </row>
    <row r="234" spans="1:11" x14ac:dyDescent="0.3">
      <c r="A234">
        <v>1232</v>
      </c>
      <c r="B234" s="1">
        <v>46102</v>
      </c>
      <c r="C234" s="3">
        <v>0.37847222222222227</v>
      </c>
      <c r="D234" s="2">
        <f>tb_dados[[#This Row],[Data]]+tb_dados[[#This Row],[Hora]]</f>
        <v>46102.378472222219</v>
      </c>
      <c r="E234" t="s">
        <v>11</v>
      </c>
      <c r="F234" t="s">
        <v>13</v>
      </c>
      <c r="G234" t="s">
        <v>18</v>
      </c>
      <c r="H234" s="4">
        <v>120</v>
      </c>
      <c r="I234" s="5">
        <v>2</v>
      </c>
      <c r="K234" t="s">
        <v>27</v>
      </c>
    </row>
    <row r="235" spans="1:11" x14ac:dyDescent="0.3">
      <c r="A235">
        <v>1233</v>
      </c>
      <c r="B235" s="1">
        <v>46098</v>
      </c>
      <c r="C235" s="3">
        <v>0.89583333333333337</v>
      </c>
      <c r="D235" s="2">
        <f>tb_dados[[#This Row],[Data]]+tb_dados[[#This Row],[Hora]]</f>
        <v>46098.895833333336</v>
      </c>
      <c r="E235" t="s">
        <v>12</v>
      </c>
      <c r="F235" t="s">
        <v>16</v>
      </c>
      <c r="G235" t="s">
        <v>20</v>
      </c>
      <c r="H235" s="4">
        <v>420</v>
      </c>
      <c r="I235" s="5">
        <v>3</v>
      </c>
      <c r="K235" t="s">
        <v>27</v>
      </c>
    </row>
    <row r="236" spans="1:11" x14ac:dyDescent="0.3">
      <c r="A236">
        <v>1234</v>
      </c>
      <c r="B236" s="1">
        <v>46107</v>
      </c>
      <c r="C236" s="3">
        <v>0.65625</v>
      </c>
      <c r="D236" s="2">
        <f>tb_dados[[#This Row],[Data]]+tb_dados[[#This Row],[Hora]]</f>
        <v>46107.65625</v>
      </c>
      <c r="E236" t="s">
        <v>12</v>
      </c>
      <c r="F236" t="s">
        <v>13</v>
      </c>
      <c r="G236" t="s">
        <v>20</v>
      </c>
      <c r="H236" s="4">
        <v>420</v>
      </c>
      <c r="I236" s="5">
        <v>1</v>
      </c>
      <c r="K236" t="s">
        <v>25</v>
      </c>
    </row>
    <row r="237" spans="1:11" x14ac:dyDescent="0.3">
      <c r="A237">
        <v>1235</v>
      </c>
      <c r="B237" s="1">
        <v>46104</v>
      </c>
      <c r="C237" s="3">
        <v>0.67152777777777783</v>
      </c>
      <c r="D237" s="2">
        <f>tb_dados[[#This Row],[Data]]+tb_dados[[#This Row],[Hora]]</f>
        <v>46104.671527777777</v>
      </c>
      <c r="E237" t="s">
        <v>10</v>
      </c>
      <c r="F237" t="s">
        <v>15</v>
      </c>
      <c r="G237" t="s">
        <v>17</v>
      </c>
      <c r="H237" s="4">
        <v>900</v>
      </c>
      <c r="I237" s="5">
        <v>1</v>
      </c>
      <c r="K237" t="s">
        <v>27</v>
      </c>
    </row>
    <row r="238" spans="1:11" x14ac:dyDescent="0.3">
      <c r="A238">
        <v>1236</v>
      </c>
      <c r="B238" s="1">
        <v>46108</v>
      </c>
      <c r="C238" s="3">
        <v>0.52361111111111114</v>
      </c>
      <c r="D238" s="2">
        <f>tb_dados[[#This Row],[Data]]+tb_dados[[#This Row],[Hora]]</f>
        <v>46108.523611111108</v>
      </c>
      <c r="E238" t="s">
        <v>10</v>
      </c>
      <c r="F238" t="s">
        <v>13</v>
      </c>
      <c r="G238" t="s">
        <v>22</v>
      </c>
      <c r="H238" s="4">
        <v>2100</v>
      </c>
      <c r="I238" s="5">
        <v>3</v>
      </c>
      <c r="K238" t="s">
        <v>26</v>
      </c>
    </row>
    <row r="239" spans="1:11" x14ac:dyDescent="0.3">
      <c r="A239">
        <v>1237</v>
      </c>
      <c r="B239" s="1">
        <v>46095</v>
      </c>
      <c r="C239" s="3">
        <v>0.6381944444444444</v>
      </c>
      <c r="D239" s="2">
        <f>tb_dados[[#This Row],[Data]]+tb_dados[[#This Row],[Hora]]</f>
        <v>46095.638194444444</v>
      </c>
      <c r="E239" t="s">
        <v>10</v>
      </c>
      <c r="F239" t="s">
        <v>13</v>
      </c>
      <c r="G239" t="s">
        <v>17</v>
      </c>
      <c r="H239" s="4">
        <v>900</v>
      </c>
      <c r="I239" s="5">
        <v>1</v>
      </c>
      <c r="K239" t="s">
        <v>25</v>
      </c>
    </row>
    <row r="240" spans="1:11" x14ac:dyDescent="0.3">
      <c r="A240">
        <v>1238</v>
      </c>
      <c r="B240" s="1">
        <v>46084</v>
      </c>
      <c r="C240" s="3">
        <v>0.5756944444444444</v>
      </c>
      <c r="D240" s="2">
        <f>tb_dados[[#This Row],[Data]]+tb_dados[[#This Row],[Hora]]</f>
        <v>46084.575694444444</v>
      </c>
      <c r="E240" t="s">
        <v>12</v>
      </c>
      <c r="F240" t="s">
        <v>13</v>
      </c>
      <c r="G240" t="s">
        <v>19</v>
      </c>
      <c r="H240" s="4">
        <v>850</v>
      </c>
      <c r="I240" s="5">
        <v>1</v>
      </c>
      <c r="K240" t="s">
        <v>27</v>
      </c>
    </row>
    <row r="241" spans="1:11" x14ac:dyDescent="0.3">
      <c r="A241">
        <v>1239</v>
      </c>
      <c r="B241" s="1">
        <v>46108</v>
      </c>
      <c r="C241" s="3">
        <v>0.57708333333333328</v>
      </c>
      <c r="D241" s="2">
        <f>tb_dados[[#This Row],[Data]]+tb_dados[[#This Row],[Hora]]</f>
        <v>46108.57708333333</v>
      </c>
      <c r="E241" t="s">
        <v>11</v>
      </c>
      <c r="F241" t="s">
        <v>16</v>
      </c>
      <c r="G241" t="s">
        <v>18</v>
      </c>
      <c r="H241" s="4">
        <v>120</v>
      </c>
      <c r="I241" s="5">
        <v>1</v>
      </c>
      <c r="K241" t="s">
        <v>26</v>
      </c>
    </row>
    <row r="242" spans="1:11" x14ac:dyDescent="0.3">
      <c r="A242">
        <v>1240</v>
      </c>
      <c r="B242" s="1">
        <v>46101</v>
      </c>
      <c r="C242" s="3">
        <v>0.44236111111111115</v>
      </c>
      <c r="D242" s="2">
        <f>tb_dados[[#This Row],[Data]]+tb_dados[[#This Row],[Hora]]</f>
        <v>46101.442361111112</v>
      </c>
      <c r="E242" t="s">
        <v>12</v>
      </c>
      <c r="F242" t="s">
        <v>14</v>
      </c>
      <c r="G242" t="s">
        <v>20</v>
      </c>
      <c r="H242" s="4">
        <v>420</v>
      </c>
      <c r="I242" s="5">
        <v>3</v>
      </c>
      <c r="K242" t="s">
        <v>26</v>
      </c>
    </row>
    <row r="243" spans="1:11" x14ac:dyDescent="0.3">
      <c r="A243">
        <v>1241</v>
      </c>
      <c r="B243" s="1">
        <v>46103</v>
      </c>
      <c r="C243" s="3">
        <v>0.49513888888888885</v>
      </c>
      <c r="D243" s="2">
        <f>tb_dados[[#This Row],[Data]]+tb_dados[[#This Row],[Hora]]</f>
        <v>46103.495138888888</v>
      </c>
      <c r="E243" t="s">
        <v>12</v>
      </c>
      <c r="F243" t="s">
        <v>16</v>
      </c>
      <c r="G243" t="s">
        <v>20</v>
      </c>
      <c r="H243" s="4">
        <v>420</v>
      </c>
      <c r="I243" s="5">
        <v>1</v>
      </c>
      <c r="K243" t="s">
        <v>28</v>
      </c>
    </row>
    <row r="244" spans="1:11" x14ac:dyDescent="0.3">
      <c r="A244">
        <v>1242</v>
      </c>
      <c r="B244" s="1">
        <v>46093</v>
      </c>
      <c r="C244" s="3">
        <v>0.52013888888888882</v>
      </c>
      <c r="D244" s="2">
        <f>tb_dados[[#This Row],[Data]]+tb_dados[[#This Row],[Hora]]</f>
        <v>46093.520138888889</v>
      </c>
      <c r="E244" t="s">
        <v>10</v>
      </c>
      <c r="F244" t="s">
        <v>15</v>
      </c>
      <c r="G244" t="s">
        <v>23</v>
      </c>
      <c r="H244" s="4">
        <v>4500</v>
      </c>
      <c r="I244" s="5">
        <v>1</v>
      </c>
      <c r="K244" t="s">
        <v>26</v>
      </c>
    </row>
    <row r="245" spans="1:11" x14ac:dyDescent="0.3">
      <c r="A245">
        <v>1243</v>
      </c>
      <c r="B245" s="1">
        <v>46095</v>
      </c>
      <c r="C245" s="3">
        <v>0.91527777777777775</v>
      </c>
      <c r="D245" s="2">
        <f>tb_dados[[#This Row],[Data]]+tb_dados[[#This Row],[Hora]]</f>
        <v>46095.915277777778</v>
      </c>
      <c r="E245" t="s">
        <v>12</v>
      </c>
      <c r="F245" t="s">
        <v>13</v>
      </c>
      <c r="G245" t="s">
        <v>19</v>
      </c>
      <c r="H245" s="4">
        <v>850</v>
      </c>
      <c r="I245" s="5">
        <v>3</v>
      </c>
      <c r="K245" t="s">
        <v>26</v>
      </c>
    </row>
    <row r="246" spans="1:11" x14ac:dyDescent="0.3">
      <c r="A246">
        <v>1244</v>
      </c>
      <c r="B246" s="1">
        <v>46102</v>
      </c>
      <c r="C246" s="3">
        <v>0.7402777777777777</v>
      </c>
      <c r="D246" s="2">
        <f>tb_dados[[#This Row],[Data]]+tb_dados[[#This Row],[Hora]]</f>
        <v>46102.740277777775</v>
      </c>
      <c r="E246" t="s">
        <v>10</v>
      </c>
      <c r="F246" t="s">
        <v>14</v>
      </c>
      <c r="G246" t="s">
        <v>17</v>
      </c>
      <c r="H246" s="4">
        <v>900</v>
      </c>
      <c r="I246" s="5">
        <v>3</v>
      </c>
      <c r="K246" t="s">
        <v>27</v>
      </c>
    </row>
    <row r="247" spans="1:11" x14ac:dyDescent="0.3">
      <c r="A247">
        <v>1245</v>
      </c>
      <c r="B247" s="1">
        <v>46096</v>
      </c>
      <c r="C247" s="3">
        <v>0.71597222222222223</v>
      </c>
      <c r="D247" s="2">
        <f>tb_dados[[#This Row],[Data]]+tb_dados[[#This Row],[Hora]]</f>
        <v>46096.71597222222</v>
      </c>
      <c r="E247" t="s">
        <v>12</v>
      </c>
      <c r="F247" t="s">
        <v>13</v>
      </c>
      <c r="G247" t="s">
        <v>20</v>
      </c>
      <c r="H247" s="4">
        <v>420</v>
      </c>
      <c r="I247" s="5">
        <v>2</v>
      </c>
      <c r="K247" t="s">
        <v>28</v>
      </c>
    </row>
    <row r="248" spans="1:11" x14ac:dyDescent="0.3">
      <c r="A248">
        <v>1246</v>
      </c>
      <c r="B248" s="1">
        <v>46098</v>
      </c>
      <c r="C248" s="3">
        <v>0.44444444444444442</v>
      </c>
      <c r="D248" s="2">
        <f>tb_dados[[#This Row],[Data]]+tb_dados[[#This Row],[Hora]]</f>
        <v>46098.444444444445</v>
      </c>
      <c r="E248" t="s">
        <v>12</v>
      </c>
      <c r="F248" t="s">
        <v>13</v>
      </c>
      <c r="G248" t="s">
        <v>20</v>
      </c>
      <c r="H248" s="4">
        <v>420</v>
      </c>
      <c r="I248" s="5">
        <v>1</v>
      </c>
      <c r="K248" t="s">
        <v>25</v>
      </c>
    </row>
    <row r="249" spans="1:11" x14ac:dyDescent="0.3">
      <c r="A249">
        <v>1247</v>
      </c>
      <c r="B249" s="1">
        <v>46089</v>
      </c>
      <c r="C249" s="3">
        <v>0.3659722222222222</v>
      </c>
      <c r="D249" s="2">
        <f>tb_dados[[#This Row],[Data]]+tb_dados[[#This Row],[Hora]]</f>
        <v>46089.365972222222</v>
      </c>
      <c r="E249" t="s">
        <v>11</v>
      </c>
      <c r="F249" t="s">
        <v>15</v>
      </c>
      <c r="G249" t="s">
        <v>18</v>
      </c>
      <c r="H249" s="4">
        <v>120</v>
      </c>
      <c r="I249" s="5">
        <v>1</v>
      </c>
      <c r="K249" t="s">
        <v>26</v>
      </c>
    </row>
    <row r="250" spans="1:11" x14ac:dyDescent="0.3">
      <c r="A250">
        <v>1248</v>
      </c>
      <c r="B250" s="1">
        <v>46100</v>
      </c>
      <c r="C250" s="3">
        <v>0.58958333333333335</v>
      </c>
      <c r="D250" s="2">
        <f>tb_dados[[#This Row],[Data]]+tb_dados[[#This Row],[Hora]]</f>
        <v>46100.589583333334</v>
      </c>
      <c r="E250" t="s">
        <v>11</v>
      </c>
      <c r="F250" t="s">
        <v>15</v>
      </c>
      <c r="G250" t="s">
        <v>24</v>
      </c>
      <c r="H250" s="4">
        <v>280</v>
      </c>
      <c r="I250" s="5">
        <v>1</v>
      </c>
      <c r="K250" t="s">
        <v>26</v>
      </c>
    </row>
    <row r="251" spans="1:11" x14ac:dyDescent="0.3">
      <c r="A251">
        <v>1249</v>
      </c>
      <c r="B251" s="1">
        <v>46088</v>
      </c>
      <c r="C251" s="3">
        <v>0.67708333333333337</v>
      </c>
      <c r="D251" s="2">
        <f>tb_dados[[#This Row],[Data]]+tb_dados[[#This Row],[Hora]]</f>
        <v>46088.677083333336</v>
      </c>
      <c r="E251" t="s">
        <v>10</v>
      </c>
      <c r="F251" t="s">
        <v>13</v>
      </c>
      <c r="G251" t="s">
        <v>17</v>
      </c>
      <c r="H251" s="4">
        <v>900</v>
      </c>
      <c r="I251" s="5">
        <v>2</v>
      </c>
      <c r="K251" t="s">
        <v>26</v>
      </c>
    </row>
    <row r="252" spans="1:11" x14ac:dyDescent="0.3">
      <c r="A252">
        <v>1250</v>
      </c>
      <c r="B252" s="1">
        <v>46103</v>
      </c>
      <c r="C252" s="3">
        <v>0.5395833333333333</v>
      </c>
      <c r="D252" s="2">
        <f>tb_dados[[#This Row],[Data]]+tb_dados[[#This Row],[Hora]]</f>
        <v>46103.539583333331</v>
      </c>
      <c r="E252" t="s">
        <v>10</v>
      </c>
      <c r="F252" t="s">
        <v>16</v>
      </c>
      <c r="G252" t="s">
        <v>23</v>
      </c>
      <c r="H252" s="4">
        <v>4500</v>
      </c>
      <c r="I252" s="5">
        <v>3</v>
      </c>
      <c r="K252" t="s">
        <v>27</v>
      </c>
    </row>
    <row r="253" spans="1:11" x14ac:dyDescent="0.3">
      <c r="A253">
        <v>1251</v>
      </c>
      <c r="B253" s="1">
        <v>46104</v>
      </c>
      <c r="C253" s="3">
        <v>0.76874999999999993</v>
      </c>
      <c r="D253" s="2">
        <f>tb_dados[[#This Row],[Data]]+tb_dados[[#This Row],[Hora]]</f>
        <v>46104.768750000003</v>
      </c>
      <c r="E253" t="s">
        <v>12</v>
      </c>
      <c r="F253" t="s">
        <v>16</v>
      </c>
      <c r="G253" t="s">
        <v>19</v>
      </c>
      <c r="H253" s="4">
        <v>850</v>
      </c>
      <c r="I253" s="5">
        <v>2</v>
      </c>
      <c r="K253" t="s">
        <v>28</v>
      </c>
    </row>
    <row r="254" spans="1:11" x14ac:dyDescent="0.3">
      <c r="A254">
        <v>1252</v>
      </c>
      <c r="B254" s="1">
        <v>46092</v>
      </c>
      <c r="C254" s="3">
        <v>0.49652777777777773</v>
      </c>
      <c r="D254" s="2">
        <f>tb_dados[[#This Row],[Data]]+tb_dados[[#This Row],[Hora]]</f>
        <v>46092.496527777781</v>
      </c>
      <c r="E254" t="s">
        <v>12</v>
      </c>
      <c r="F254" t="s">
        <v>15</v>
      </c>
      <c r="G254" t="s">
        <v>19</v>
      </c>
      <c r="H254" s="4">
        <v>850</v>
      </c>
      <c r="I254" s="5">
        <v>3</v>
      </c>
      <c r="K254" t="s">
        <v>28</v>
      </c>
    </row>
    <row r="255" spans="1:11" x14ac:dyDescent="0.3">
      <c r="A255">
        <v>1253</v>
      </c>
      <c r="B255" s="1">
        <v>46085</v>
      </c>
      <c r="C255" s="3">
        <v>0.4694444444444445</v>
      </c>
      <c r="D255" s="2">
        <f>tb_dados[[#This Row],[Data]]+tb_dados[[#This Row],[Hora]]</f>
        <v>46085.469444444447</v>
      </c>
      <c r="E255" t="s">
        <v>10</v>
      </c>
      <c r="F255" t="s">
        <v>15</v>
      </c>
      <c r="G255" t="s">
        <v>17</v>
      </c>
      <c r="H255" s="4">
        <v>900</v>
      </c>
      <c r="I255" s="5">
        <v>3</v>
      </c>
      <c r="K255" t="s">
        <v>27</v>
      </c>
    </row>
    <row r="256" spans="1:11" x14ac:dyDescent="0.3">
      <c r="A256">
        <v>1254</v>
      </c>
      <c r="B256" s="1">
        <v>46088</v>
      </c>
      <c r="C256" s="3">
        <v>0.39999999999999997</v>
      </c>
      <c r="D256" s="2">
        <f>tb_dados[[#This Row],[Data]]+tb_dados[[#This Row],[Hora]]</f>
        <v>46088.4</v>
      </c>
      <c r="E256" t="s">
        <v>12</v>
      </c>
      <c r="F256" t="s">
        <v>15</v>
      </c>
      <c r="G256" t="s">
        <v>20</v>
      </c>
      <c r="H256" s="4">
        <v>420</v>
      </c>
      <c r="I256" s="5">
        <v>2</v>
      </c>
      <c r="K256" t="s">
        <v>25</v>
      </c>
    </row>
    <row r="257" spans="1:11" x14ac:dyDescent="0.3">
      <c r="A257">
        <v>1255</v>
      </c>
      <c r="B257" s="1">
        <v>46101</v>
      </c>
      <c r="C257" s="3">
        <v>0.92083333333333339</v>
      </c>
      <c r="D257" s="2">
        <f>tb_dados[[#This Row],[Data]]+tb_dados[[#This Row],[Hora]]</f>
        <v>46101.92083333333</v>
      </c>
      <c r="E257" t="s">
        <v>10</v>
      </c>
      <c r="F257" t="s">
        <v>16</v>
      </c>
      <c r="G257" t="s">
        <v>17</v>
      </c>
      <c r="H257" s="4">
        <v>900</v>
      </c>
      <c r="I257" s="5">
        <v>3</v>
      </c>
      <c r="K257" t="s">
        <v>27</v>
      </c>
    </row>
    <row r="258" spans="1:11" x14ac:dyDescent="0.3">
      <c r="A258">
        <v>1256</v>
      </c>
      <c r="B258" s="1">
        <v>46108</v>
      </c>
      <c r="C258" s="3">
        <v>0.78333333333333333</v>
      </c>
      <c r="D258" s="2">
        <f>tb_dados[[#This Row],[Data]]+tb_dados[[#This Row],[Hora]]</f>
        <v>46108.783333333333</v>
      </c>
      <c r="E258" t="s">
        <v>10</v>
      </c>
      <c r="F258" t="s">
        <v>16</v>
      </c>
      <c r="G258" t="s">
        <v>17</v>
      </c>
      <c r="H258" s="4">
        <v>900</v>
      </c>
      <c r="I258" s="5">
        <v>2</v>
      </c>
      <c r="K258" t="s">
        <v>25</v>
      </c>
    </row>
    <row r="259" spans="1:11" x14ac:dyDescent="0.3">
      <c r="A259">
        <v>1257</v>
      </c>
      <c r="B259" s="1">
        <v>46102</v>
      </c>
      <c r="C259" s="3">
        <v>0.74444444444444446</v>
      </c>
      <c r="D259" s="2">
        <f>tb_dados[[#This Row],[Data]]+tb_dados[[#This Row],[Hora]]</f>
        <v>46102.744444444441</v>
      </c>
      <c r="E259" t="s">
        <v>11</v>
      </c>
      <c r="F259" t="s">
        <v>14</v>
      </c>
      <c r="G259" t="s">
        <v>21</v>
      </c>
      <c r="H259" s="4">
        <v>350</v>
      </c>
      <c r="I259" s="5">
        <v>1</v>
      </c>
      <c r="K259" t="s">
        <v>25</v>
      </c>
    </row>
    <row r="260" spans="1:11" x14ac:dyDescent="0.3">
      <c r="A260">
        <v>1258</v>
      </c>
      <c r="B260" s="1">
        <v>46101</v>
      </c>
      <c r="C260" s="3">
        <v>0.93263888888888891</v>
      </c>
      <c r="D260" s="2">
        <f>tb_dados[[#This Row],[Data]]+tb_dados[[#This Row],[Hora]]</f>
        <v>46101.932638888888</v>
      </c>
      <c r="E260" t="s">
        <v>12</v>
      </c>
      <c r="F260" t="s">
        <v>13</v>
      </c>
      <c r="G260" t="s">
        <v>20</v>
      </c>
      <c r="H260" s="4">
        <v>420</v>
      </c>
      <c r="I260" s="5">
        <v>1</v>
      </c>
      <c r="K260" t="s">
        <v>26</v>
      </c>
    </row>
    <row r="261" spans="1:11" x14ac:dyDescent="0.3">
      <c r="A261">
        <v>1259</v>
      </c>
      <c r="B261" s="1">
        <v>46087</v>
      </c>
      <c r="C261" s="3">
        <v>0.63472222222222219</v>
      </c>
      <c r="D261" s="2">
        <f>tb_dados[[#This Row],[Data]]+tb_dados[[#This Row],[Hora]]</f>
        <v>46087.634722222225</v>
      </c>
      <c r="E261" t="s">
        <v>12</v>
      </c>
      <c r="F261" t="s">
        <v>13</v>
      </c>
      <c r="G261" t="s">
        <v>20</v>
      </c>
      <c r="H261" s="4">
        <v>420</v>
      </c>
      <c r="I261" s="5">
        <v>3</v>
      </c>
      <c r="K261" t="s">
        <v>25</v>
      </c>
    </row>
    <row r="262" spans="1:11" x14ac:dyDescent="0.3">
      <c r="A262">
        <v>1260</v>
      </c>
      <c r="B262" s="1">
        <v>46082</v>
      </c>
      <c r="C262" s="3">
        <v>0.75069444444444444</v>
      </c>
      <c r="D262" s="2">
        <f>tb_dados[[#This Row],[Data]]+tb_dados[[#This Row],[Hora]]</f>
        <v>46082.750694444447</v>
      </c>
      <c r="E262" t="s">
        <v>11</v>
      </c>
      <c r="F262" t="s">
        <v>13</v>
      </c>
      <c r="G262" t="s">
        <v>24</v>
      </c>
      <c r="H262" s="4">
        <v>280</v>
      </c>
      <c r="I262" s="5">
        <v>3</v>
      </c>
      <c r="K262" t="s">
        <v>28</v>
      </c>
    </row>
    <row r="263" spans="1:11" x14ac:dyDescent="0.3">
      <c r="A263">
        <v>1261</v>
      </c>
      <c r="B263" s="1">
        <v>46098</v>
      </c>
      <c r="C263" s="3">
        <v>0.34513888888888888</v>
      </c>
      <c r="D263" s="2">
        <f>tb_dados[[#This Row],[Data]]+tb_dados[[#This Row],[Hora]]</f>
        <v>46098.345138888886</v>
      </c>
      <c r="E263" t="s">
        <v>10</v>
      </c>
      <c r="F263" t="s">
        <v>16</v>
      </c>
      <c r="G263" t="s">
        <v>23</v>
      </c>
      <c r="H263" s="4">
        <v>4500</v>
      </c>
      <c r="I263" s="5">
        <v>2</v>
      </c>
      <c r="K263" t="s">
        <v>26</v>
      </c>
    </row>
    <row r="264" spans="1:11" x14ac:dyDescent="0.3">
      <c r="A264">
        <v>1262</v>
      </c>
      <c r="B264" s="1">
        <v>46099</v>
      </c>
      <c r="C264" s="3">
        <v>0.87222222222222223</v>
      </c>
      <c r="D264" s="2">
        <f>tb_dados[[#This Row],[Data]]+tb_dados[[#This Row],[Hora]]</f>
        <v>46099.87222222222</v>
      </c>
      <c r="E264" t="s">
        <v>11</v>
      </c>
      <c r="F264" t="s">
        <v>13</v>
      </c>
      <c r="G264" t="s">
        <v>18</v>
      </c>
      <c r="H264" s="4">
        <v>120</v>
      </c>
      <c r="I264" s="5">
        <v>2</v>
      </c>
      <c r="K264" t="s">
        <v>28</v>
      </c>
    </row>
    <row r="265" spans="1:11" x14ac:dyDescent="0.3">
      <c r="A265">
        <v>1263</v>
      </c>
      <c r="B265" s="1">
        <v>46101</v>
      </c>
      <c r="C265" s="3">
        <v>0.69444444444444453</v>
      </c>
      <c r="D265" s="2">
        <f>tb_dados[[#This Row],[Data]]+tb_dados[[#This Row],[Hora]]</f>
        <v>46101.694444444445</v>
      </c>
      <c r="E265" t="s">
        <v>12</v>
      </c>
      <c r="F265" t="s">
        <v>13</v>
      </c>
      <c r="G265" t="s">
        <v>20</v>
      </c>
      <c r="H265" s="4">
        <v>420</v>
      </c>
      <c r="I265" s="5">
        <v>1</v>
      </c>
      <c r="K265" t="s">
        <v>27</v>
      </c>
    </row>
    <row r="266" spans="1:11" x14ac:dyDescent="0.3">
      <c r="A266">
        <v>1264</v>
      </c>
      <c r="B266" s="1">
        <v>46078</v>
      </c>
      <c r="C266" s="3">
        <v>0.70833333333333337</v>
      </c>
      <c r="D266" s="2">
        <f>tb_dados[[#This Row],[Data]]+tb_dados[[#This Row],[Hora]]</f>
        <v>46078.708333333336</v>
      </c>
      <c r="E266" t="s">
        <v>11</v>
      </c>
      <c r="F266" t="s">
        <v>13</v>
      </c>
      <c r="G266" t="s">
        <v>18</v>
      </c>
      <c r="H266" s="4">
        <v>120</v>
      </c>
      <c r="I266" s="5">
        <v>1</v>
      </c>
      <c r="K266" t="s">
        <v>25</v>
      </c>
    </row>
    <row r="267" spans="1:11" x14ac:dyDescent="0.3">
      <c r="A267">
        <v>1265</v>
      </c>
      <c r="B267" s="1">
        <v>46102</v>
      </c>
      <c r="C267" s="3">
        <v>0.72569444444444453</v>
      </c>
      <c r="D267" s="2">
        <f>tb_dados[[#This Row],[Data]]+tb_dados[[#This Row],[Hora]]</f>
        <v>46102.725694444445</v>
      </c>
      <c r="E267" t="s">
        <v>11</v>
      </c>
      <c r="F267" t="s">
        <v>13</v>
      </c>
      <c r="G267" t="s">
        <v>18</v>
      </c>
      <c r="H267" s="4">
        <v>120</v>
      </c>
      <c r="I267" s="5">
        <v>2</v>
      </c>
      <c r="K267" t="s">
        <v>26</v>
      </c>
    </row>
    <row r="268" spans="1:11" x14ac:dyDescent="0.3">
      <c r="A268">
        <v>1266</v>
      </c>
      <c r="B268" s="1">
        <v>46082</v>
      </c>
      <c r="C268" s="3">
        <v>0.7993055555555556</v>
      </c>
      <c r="D268" s="2">
        <f>tb_dados[[#This Row],[Data]]+tb_dados[[#This Row],[Hora]]</f>
        <v>46082.799305555556</v>
      </c>
      <c r="E268" t="s">
        <v>11</v>
      </c>
      <c r="F268" t="s">
        <v>13</v>
      </c>
      <c r="G268" t="s">
        <v>18</v>
      </c>
      <c r="H268" s="4">
        <v>120</v>
      </c>
      <c r="I268" s="5">
        <v>1</v>
      </c>
      <c r="K268" t="s">
        <v>28</v>
      </c>
    </row>
    <row r="269" spans="1:11" x14ac:dyDescent="0.3">
      <c r="A269">
        <v>1267</v>
      </c>
      <c r="B269" s="1">
        <v>46079</v>
      </c>
      <c r="C269" s="3">
        <v>0.4548611111111111</v>
      </c>
      <c r="D269" s="2">
        <f>tb_dados[[#This Row],[Data]]+tb_dados[[#This Row],[Hora]]</f>
        <v>46079.454861111109</v>
      </c>
      <c r="E269" t="s">
        <v>11</v>
      </c>
      <c r="F269" t="s">
        <v>15</v>
      </c>
      <c r="G269" t="s">
        <v>21</v>
      </c>
      <c r="H269" s="4">
        <v>350</v>
      </c>
      <c r="I269" s="5">
        <v>2</v>
      </c>
      <c r="K269" t="s">
        <v>25</v>
      </c>
    </row>
    <row r="270" spans="1:11" x14ac:dyDescent="0.3">
      <c r="A270">
        <v>1268</v>
      </c>
      <c r="B270" s="1">
        <v>46090</v>
      </c>
      <c r="C270" s="3">
        <v>0.73749999999999993</v>
      </c>
      <c r="D270" s="2">
        <f>tb_dados[[#This Row],[Data]]+tb_dados[[#This Row],[Hora]]</f>
        <v>46090.737500000003</v>
      </c>
      <c r="E270" t="s">
        <v>11</v>
      </c>
      <c r="F270" t="s">
        <v>15</v>
      </c>
      <c r="G270" t="s">
        <v>24</v>
      </c>
      <c r="H270" s="4">
        <v>280</v>
      </c>
      <c r="I270" s="5">
        <v>1</v>
      </c>
      <c r="K270" t="s">
        <v>26</v>
      </c>
    </row>
    <row r="271" spans="1:11" x14ac:dyDescent="0.3">
      <c r="A271">
        <v>1269</v>
      </c>
      <c r="B271" s="1">
        <v>46084</v>
      </c>
      <c r="C271" s="3">
        <v>0.34513888888888888</v>
      </c>
      <c r="D271" s="2">
        <f>tb_dados[[#This Row],[Data]]+tb_dados[[#This Row],[Hora]]</f>
        <v>46084.345138888886</v>
      </c>
      <c r="E271" t="s">
        <v>11</v>
      </c>
      <c r="F271" t="s">
        <v>15</v>
      </c>
      <c r="G271" t="s">
        <v>24</v>
      </c>
      <c r="H271" s="4">
        <v>280</v>
      </c>
      <c r="I271" s="5">
        <v>1</v>
      </c>
      <c r="K271" t="s">
        <v>27</v>
      </c>
    </row>
    <row r="272" spans="1:11" x14ac:dyDescent="0.3">
      <c r="A272">
        <v>1270</v>
      </c>
      <c r="B272" s="1">
        <v>46084</v>
      </c>
      <c r="C272" s="3">
        <v>0.79999999999999993</v>
      </c>
      <c r="D272" s="2">
        <f>tb_dados[[#This Row],[Data]]+tb_dados[[#This Row],[Hora]]</f>
        <v>46084.800000000003</v>
      </c>
      <c r="E272" t="s">
        <v>11</v>
      </c>
      <c r="F272" t="s">
        <v>16</v>
      </c>
      <c r="G272" t="s">
        <v>21</v>
      </c>
      <c r="H272" s="4">
        <v>350</v>
      </c>
      <c r="I272" s="5">
        <v>2</v>
      </c>
      <c r="K272" t="s">
        <v>26</v>
      </c>
    </row>
    <row r="273" spans="1:11" x14ac:dyDescent="0.3">
      <c r="A273">
        <v>1271</v>
      </c>
      <c r="B273" s="1">
        <v>46088</v>
      </c>
      <c r="C273" s="3">
        <v>0.44791666666666669</v>
      </c>
      <c r="D273" s="2">
        <f>tb_dados[[#This Row],[Data]]+tb_dados[[#This Row],[Hora]]</f>
        <v>46088.447916666664</v>
      </c>
      <c r="E273" t="s">
        <v>10</v>
      </c>
      <c r="F273" t="s">
        <v>16</v>
      </c>
      <c r="G273" t="s">
        <v>17</v>
      </c>
      <c r="H273" s="4">
        <v>900</v>
      </c>
      <c r="I273" s="5">
        <v>2</v>
      </c>
      <c r="K273" t="s">
        <v>25</v>
      </c>
    </row>
    <row r="274" spans="1:11" x14ac:dyDescent="0.3">
      <c r="A274">
        <v>1272</v>
      </c>
      <c r="B274" s="1">
        <v>46089</v>
      </c>
      <c r="C274" s="3">
        <v>0.49236111111111108</v>
      </c>
      <c r="D274" s="2">
        <f>tb_dados[[#This Row],[Data]]+tb_dados[[#This Row],[Hora]]</f>
        <v>46089.492361111108</v>
      </c>
      <c r="E274" t="s">
        <v>10</v>
      </c>
      <c r="F274" t="s">
        <v>14</v>
      </c>
      <c r="G274" t="s">
        <v>22</v>
      </c>
      <c r="H274" s="4">
        <v>2100</v>
      </c>
      <c r="I274" s="5">
        <v>3</v>
      </c>
      <c r="K274" t="s">
        <v>27</v>
      </c>
    </row>
    <row r="275" spans="1:11" x14ac:dyDescent="0.3">
      <c r="A275">
        <v>1273</v>
      </c>
      <c r="B275" s="1">
        <v>46097</v>
      </c>
      <c r="C275" s="3">
        <v>0.61458333333333337</v>
      </c>
      <c r="D275" s="2">
        <f>tb_dados[[#This Row],[Data]]+tb_dados[[#This Row],[Hora]]</f>
        <v>46097.614583333336</v>
      </c>
      <c r="E275" t="s">
        <v>11</v>
      </c>
      <c r="F275" t="s">
        <v>15</v>
      </c>
      <c r="G275" t="s">
        <v>18</v>
      </c>
      <c r="H275" s="4">
        <v>120</v>
      </c>
      <c r="I275" s="5">
        <v>2</v>
      </c>
      <c r="K275" t="s">
        <v>26</v>
      </c>
    </row>
    <row r="276" spans="1:11" x14ac:dyDescent="0.3">
      <c r="A276">
        <v>1274</v>
      </c>
      <c r="B276" s="1">
        <v>46090</v>
      </c>
      <c r="C276" s="3">
        <v>0.81388888888888899</v>
      </c>
      <c r="D276" s="2">
        <f>tb_dados[[#This Row],[Data]]+tb_dados[[#This Row],[Hora]]</f>
        <v>46090.813888888886</v>
      </c>
      <c r="E276" t="s">
        <v>12</v>
      </c>
      <c r="F276" t="s">
        <v>14</v>
      </c>
      <c r="G276" t="s">
        <v>19</v>
      </c>
      <c r="H276" s="4">
        <v>850</v>
      </c>
      <c r="I276" s="5">
        <v>1</v>
      </c>
      <c r="K276" t="s">
        <v>25</v>
      </c>
    </row>
    <row r="277" spans="1:11" x14ac:dyDescent="0.3">
      <c r="A277">
        <v>1275</v>
      </c>
      <c r="B277" s="1">
        <v>46093</v>
      </c>
      <c r="C277" s="3">
        <v>0.3923611111111111</v>
      </c>
      <c r="D277" s="2">
        <f>tb_dados[[#This Row],[Data]]+tb_dados[[#This Row],[Hora]]</f>
        <v>46093.392361111109</v>
      </c>
      <c r="E277" t="s">
        <v>10</v>
      </c>
      <c r="F277" t="s">
        <v>14</v>
      </c>
      <c r="G277" t="s">
        <v>17</v>
      </c>
      <c r="H277" s="4">
        <v>900</v>
      </c>
      <c r="I277" s="5">
        <v>2</v>
      </c>
      <c r="K277" t="s">
        <v>25</v>
      </c>
    </row>
    <row r="278" spans="1:11" x14ac:dyDescent="0.3">
      <c r="A278">
        <v>1276</v>
      </c>
      <c r="B278" s="1">
        <v>46102</v>
      </c>
      <c r="C278" s="3">
        <v>0.34375</v>
      </c>
      <c r="D278" s="2">
        <f>tb_dados[[#This Row],[Data]]+tb_dados[[#This Row],[Hora]]</f>
        <v>46102.34375</v>
      </c>
      <c r="E278" t="s">
        <v>12</v>
      </c>
      <c r="F278" t="s">
        <v>13</v>
      </c>
      <c r="G278" t="s">
        <v>19</v>
      </c>
      <c r="H278" s="4">
        <v>850</v>
      </c>
      <c r="I278" s="5">
        <v>2</v>
      </c>
      <c r="K278" t="s">
        <v>28</v>
      </c>
    </row>
    <row r="279" spans="1:11" x14ac:dyDescent="0.3">
      <c r="A279">
        <v>1277</v>
      </c>
      <c r="B279" s="1">
        <v>46102</v>
      </c>
      <c r="C279" s="3">
        <v>0.91388888888888886</v>
      </c>
      <c r="D279" s="2">
        <f>tb_dados[[#This Row],[Data]]+tb_dados[[#This Row],[Hora]]</f>
        <v>46102.913888888892</v>
      </c>
      <c r="E279" t="s">
        <v>10</v>
      </c>
      <c r="F279" t="s">
        <v>13</v>
      </c>
      <c r="G279" t="s">
        <v>22</v>
      </c>
      <c r="H279" s="4">
        <v>2100</v>
      </c>
      <c r="I279" s="5">
        <v>1</v>
      </c>
      <c r="K279" t="s">
        <v>28</v>
      </c>
    </row>
    <row r="280" spans="1:11" x14ac:dyDescent="0.3">
      <c r="A280">
        <v>1278</v>
      </c>
      <c r="B280" s="1">
        <v>46079</v>
      </c>
      <c r="C280" s="3">
        <v>0.92013888888888884</v>
      </c>
      <c r="D280" s="2">
        <f>tb_dados[[#This Row],[Data]]+tb_dados[[#This Row],[Hora]]</f>
        <v>46079.920138888891</v>
      </c>
      <c r="E280" t="s">
        <v>12</v>
      </c>
      <c r="F280" t="s">
        <v>15</v>
      </c>
      <c r="G280" t="s">
        <v>20</v>
      </c>
      <c r="H280" s="4">
        <v>420</v>
      </c>
      <c r="I280" s="5">
        <v>3</v>
      </c>
      <c r="K280" t="s">
        <v>26</v>
      </c>
    </row>
    <row r="281" spans="1:11" x14ac:dyDescent="0.3">
      <c r="A281">
        <v>1279</v>
      </c>
      <c r="B281" s="1">
        <v>46084</v>
      </c>
      <c r="C281" s="3">
        <v>0.54861111111111105</v>
      </c>
      <c r="D281" s="2">
        <f>tb_dados[[#This Row],[Data]]+tb_dados[[#This Row],[Hora]]</f>
        <v>46084.548611111109</v>
      </c>
      <c r="E281" t="s">
        <v>11</v>
      </c>
      <c r="F281" t="s">
        <v>13</v>
      </c>
      <c r="G281" t="s">
        <v>18</v>
      </c>
      <c r="H281" s="4">
        <v>120</v>
      </c>
      <c r="I281" s="5">
        <v>1</v>
      </c>
      <c r="K281" t="s">
        <v>28</v>
      </c>
    </row>
    <row r="282" spans="1:11" x14ac:dyDescent="0.3">
      <c r="A282">
        <v>1280</v>
      </c>
      <c r="B282" s="1">
        <v>46105</v>
      </c>
      <c r="C282" s="3">
        <v>0.66388888888888886</v>
      </c>
      <c r="D282" s="2">
        <f>tb_dados[[#This Row],[Data]]+tb_dados[[#This Row],[Hora]]</f>
        <v>46105.663888888892</v>
      </c>
      <c r="E282" t="s">
        <v>10</v>
      </c>
      <c r="F282" t="s">
        <v>14</v>
      </c>
      <c r="G282" t="s">
        <v>23</v>
      </c>
      <c r="H282" s="4">
        <v>4500</v>
      </c>
      <c r="I282" s="5">
        <v>2</v>
      </c>
      <c r="K282" t="s">
        <v>27</v>
      </c>
    </row>
    <row r="283" spans="1:11" x14ac:dyDescent="0.3">
      <c r="A283">
        <v>1281</v>
      </c>
      <c r="B283" s="1">
        <v>46099</v>
      </c>
      <c r="C283" s="3">
        <v>0.63472222222222219</v>
      </c>
      <c r="D283" s="2">
        <f>tb_dados[[#This Row],[Data]]+tb_dados[[#This Row],[Hora]]</f>
        <v>46099.634722222225</v>
      </c>
      <c r="E283" t="s">
        <v>10</v>
      </c>
      <c r="F283" t="s">
        <v>14</v>
      </c>
      <c r="G283" t="s">
        <v>23</v>
      </c>
      <c r="H283" s="4">
        <v>4500</v>
      </c>
      <c r="I283" s="5">
        <v>1</v>
      </c>
      <c r="K283" t="s">
        <v>26</v>
      </c>
    </row>
    <row r="284" spans="1:11" x14ac:dyDescent="0.3">
      <c r="A284">
        <v>1282</v>
      </c>
      <c r="B284" s="1">
        <v>46107</v>
      </c>
      <c r="C284" s="3">
        <v>0.80138888888888893</v>
      </c>
      <c r="D284" s="2">
        <f>tb_dados[[#This Row],[Data]]+tb_dados[[#This Row],[Hora]]</f>
        <v>46107.801388888889</v>
      </c>
      <c r="E284" t="s">
        <v>10</v>
      </c>
      <c r="F284" t="s">
        <v>15</v>
      </c>
      <c r="G284" t="s">
        <v>23</v>
      </c>
      <c r="H284" s="4">
        <v>4500</v>
      </c>
      <c r="I284" s="5">
        <v>2</v>
      </c>
      <c r="K284" t="s">
        <v>26</v>
      </c>
    </row>
    <row r="285" spans="1:11" x14ac:dyDescent="0.3">
      <c r="A285">
        <v>1283</v>
      </c>
      <c r="B285" s="1">
        <v>46096</v>
      </c>
      <c r="C285" s="3">
        <v>0.4381944444444445</v>
      </c>
      <c r="D285" s="2">
        <f>tb_dados[[#This Row],[Data]]+tb_dados[[#This Row],[Hora]]</f>
        <v>46096.438194444447</v>
      </c>
      <c r="E285" t="s">
        <v>11</v>
      </c>
      <c r="F285" t="s">
        <v>16</v>
      </c>
      <c r="G285" t="s">
        <v>24</v>
      </c>
      <c r="H285" s="4">
        <v>280</v>
      </c>
      <c r="I285" s="5">
        <v>2</v>
      </c>
      <c r="K285" t="s">
        <v>27</v>
      </c>
    </row>
    <row r="286" spans="1:11" x14ac:dyDescent="0.3">
      <c r="A286">
        <v>1284</v>
      </c>
      <c r="B286" s="1">
        <v>46097</v>
      </c>
      <c r="C286" s="3">
        <v>0.44930555555555557</v>
      </c>
      <c r="D286" s="2">
        <f>tb_dados[[#This Row],[Data]]+tb_dados[[#This Row],[Hora]]</f>
        <v>46097.449305555558</v>
      </c>
      <c r="E286" t="s">
        <v>10</v>
      </c>
      <c r="F286" t="s">
        <v>16</v>
      </c>
      <c r="G286" t="s">
        <v>23</v>
      </c>
      <c r="H286" s="4">
        <v>4500</v>
      </c>
      <c r="I286" s="5">
        <v>3</v>
      </c>
      <c r="K286" t="s">
        <v>27</v>
      </c>
    </row>
    <row r="287" spans="1:11" x14ac:dyDescent="0.3">
      <c r="A287">
        <v>1285</v>
      </c>
      <c r="B287" s="1">
        <v>46105</v>
      </c>
      <c r="C287" s="3">
        <v>0.36180555555555555</v>
      </c>
      <c r="D287" s="2">
        <f>tb_dados[[#This Row],[Data]]+tb_dados[[#This Row],[Hora]]</f>
        <v>46105.361805555556</v>
      </c>
      <c r="E287" t="s">
        <v>12</v>
      </c>
      <c r="F287" t="s">
        <v>15</v>
      </c>
      <c r="G287" t="s">
        <v>19</v>
      </c>
      <c r="H287" s="4">
        <v>850</v>
      </c>
      <c r="I287" s="5">
        <v>1</v>
      </c>
      <c r="K287" t="s">
        <v>25</v>
      </c>
    </row>
    <row r="288" spans="1:11" x14ac:dyDescent="0.3">
      <c r="A288">
        <v>1286</v>
      </c>
      <c r="B288" s="1">
        <v>46088</v>
      </c>
      <c r="C288" s="3">
        <v>0.43263888888888885</v>
      </c>
      <c r="D288" s="2">
        <f>tb_dados[[#This Row],[Data]]+tb_dados[[#This Row],[Hora]]</f>
        <v>46088.432638888888</v>
      </c>
      <c r="E288" t="s">
        <v>10</v>
      </c>
      <c r="F288" t="s">
        <v>14</v>
      </c>
      <c r="G288" t="s">
        <v>22</v>
      </c>
      <c r="H288" s="4">
        <v>2100</v>
      </c>
      <c r="I288" s="5">
        <v>2</v>
      </c>
      <c r="K288" t="s">
        <v>26</v>
      </c>
    </row>
    <row r="289" spans="1:11" x14ac:dyDescent="0.3">
      <c r="A289">
        <v>1287</v>
      </c>
      <c r="B289" s="1">
        <v>46107</v>
      </c>
      <c r="C289" s="3">
        <v>0.40763888888888888</v>
      </c>
      <c r="D289" s="2">
        <f>tb_dados[[#This Row],[Data]]+tb_dados[[#This Row],[Hora]]</f>
        <v>46107.407638888886</v>
      </c>
      <c r="E289" t="s">
        <v>11</v>
      </c>
      <c r="F289" t="s">
        <v>13</v>
      </c>
      <c r="G289" t="s">
        <v>18</v>
      </c>
      <c r="H289" s="4">
        <v>120</v>
      </c>
      <c r="I289" s="5">
        <v>1</v>
      </c>
      <c r="K289" t="s">
        <v>25</v>
      </c>
    </row>
    <row r="290" spans="1:11" x14ac:dyDescent="0.3">
      <c r="A290">
        <v>1288</v>
      </c>
      <c r="B290" s="1">
        <v>46092</v>
      </c>
      <c r="C290" s="3">
        <v>0.38819444444444445</v>
      </c>
      <c r="D290" s="2">
        <f>tb_dados[[#This Row],[Data]]+tb_dados[[#This Row],[Hora]]</f>
        <v>46092.388194444444</v>
      </c>
      <c r="E290" t="s">
        <v>12</v>
      </c>
      <c r="F290" t="s">
        <v>16</v>
      </c>
      <c r="G290" t="s">
        <v>20</v>
      </c>
      <c r="H290" s="4">
        <v>420</v>
      </c>
      <c r="I290" s="5">
        <v>3</v>
      </c>
      <c r="K290" t="s">
        <v>25</v>
      </c>
    </row>
    <row r="291" spans="1:11" x14ac:dyDescent="0.3">
      <c r="A291">
        <v>1289</v>
      </c>
      <c r="B291" s="1">
        <v>46103</v>
      </c>
      <c r="C291" s="3">
        <v>0.63263888888888886</v>
      </c>
      <c r="D291" s="2">
        <f>tb_dados[[#This Row],[Data]]+tb_dados[[#This Row],[Hora]]</f>
        <v>46103.632638888892</v>
      </c>
      <c r="E291" t="s">
        <v>12</v>
      </c>
      <c r="F291" t="s">
        <v>14</v>
      </c>
      <c r="G291" t="s">
        <v>19</v>
      </c>
      <c r="H291" s="4">
        <v>850</v>
      </c>
      <c r="I291" s="5">
        <v>3</v>
      </c>
      <c r="K291" t="s">
        <v>26</v>
      </c>
    </row>
    <row r="292" spans="1:11" x14ac:dyDescent="0.3">
      <c r="A292">
        <v>1290</v>
      </c>
      <c r="B292" s="1">
        <v>46103</v>
      </c>
      <c r="C292" s="3">
        <v>0.57986111111111105</v>
      </c>
      <c r="D292" s="2">
        <f>tb_dados[[#This Row],[Data]]+tb_dados[[#This Row],[Hora]]</f>
        <v>46103.579861111109</v>
      </c>
      <c r="E292" t="s">
        <v>11</v>
      </c>
      <c r="F292" t="s">
        <v>15</v>
      </c>
      <c r="G292" t="s">
        <v>18</v>
      </c>
      <c r="H292" s="4">
        <v>120</v>
      </c>
      <c r="I292" s="5">
        <v>2</v>
      </c>
      <c r="K292" t="s">
        <v>25</v>
      </c>
    </row>
    <row r="293" spans="1:11" x14ac:dyDescent="0.3">
      <c r="A293">
        <v>1291</v>
      </c>
      <c r="B293" s="1">
        <v>46081</v>
      </c>
      <c r="C293" s="3">
        <v>0.36041666666666666</v>
      </c>
      <c r="D293" s="2">
        <f>tb_dados[[#This Row],[Data]]+tb_dados[[#This Row],[Hora]]</f>
        <v>46081.36041666667</v>
      </c>
      <c r="E293" t="s">
        <v>11</v>
      </c>
      <c r="F293" t="s">
        <v>16</v>
      </c>
      <c r="G293" t="s">
        <v>21</v>
      </c>
      <c r="H293" s="4">
        <v>350</v>
      </c>
      <c r="I293" s="5">
        <v>1</v>
      </c>
      <c r="K293" t="s">
        <v>26</v>
      </c>
    </row>
    <row r="294" spans="1:11" x14ac:dyDescent="0.3">
      <c r="A294">
        <v>1292</v>
      </c>
      <c r="B294" s="1">
        <v>46104</v>
      </c>
      <c r="C294" s="3">
        <v>0.59097222222222223</v>
      </c>
      <c r="D294" s="2">
        <f>tb_dados[[#This Row],[Data]]+tb_dados[[#This Row],[Hora]]</f>
        <v>46104.59097222222</v>
      </c>
      <c r="E294" t="s">
        <v>11</v>
      </c>
      <c r="F294" t="s">
        <v>15</v>
      </c>
      <c r="G294" t="s">
        <v>18</v>
      </c>
      <c r="H294" s="4">
        <v>120</v>
      </c>
      <c r="I294" s="5">
        <v>2</v>
      </c>
      <c r="K294" t="s">
        <v>26</v>
      </c>
    </row>
    <row r="295" spans="1:11" x14ac:dyDescent="0.3">
      <c r="A295">
        <v>1293</v>
      </c>
      <c r="B295" s="1">
        <v>46102</v>
      </c>
      <c r="C295" s="3">
        <v>0.70763888888888893</v>
      </c>
      <c r="D295" s="2">
        <f>tb_dados[[#This Row],[Data]]+tb_dados[[#This Row],[Hora]]</f>
        <v>46102.707638888889</v>
      </c>
      <c r="E295" t="s">
        <v>12</v>
      </c>
      <c r="F295" t="s">
        <v>15</v>
      </c>
      <c r="G295" t="s">
        <v>19</v>
      </c>
      <c r="H295" s="4">
        <v>850</v>
      </c>
      <c r="I295" s="5">
        <v>3</v>
      </c>
      <c r="K295" t="s">
        <v>27</v>
      </c>
    </row>
    <row r="296" spans="1:11" x14ac:dyDescent="0.3">
      <c r="A296">
        <v>1294</v>
      </c>
      <c r="B296" s="1">
        <v>46090</v>
      </c>
      <c r="C296" s="3">
        <v>0.50277777777777777</v>
      </c>
      <c r="D296" s="2">
        <f>tb_dados[[#This Row],[Data]]+tb_dados[[#This Row],[Hora]]</f>
        <v>46090.50277777778</v>
      </c>
      <c r="E296" t="s">
        <v>11</v>
      </c>
      <c r="F296" t="s">
        <v>14</v>
      </c>
      <c r="G296" t="s">
        <v>24</v>
      </c>
      <c r="H296" s="4">
        <v>280</v>
      </c>
      <c r="I296" s="5">
        <v>1</v>
      </c>
      <c r="K296" t="s">
        <v>27</v>
      </c>
    </row>
    <row r="297" spans="1:11" x14ac:dyDescent="0.3">
      <c r="A297">
        <v>1295</v>
      </c>
      <c r="B297" s="1">
        <v>46080</v>
      </c>
      <c r="C297" s="3">
        <v>0.45069444444444445</v>
      </c>
      <c r="D297" s="2">
        <f>tb_dados[[#This Row],[Data]]+tb_dados[[#This Row],[Hora]]</f>
        <v>46080.450694444444</v>
      </c>
      <c r="E297" t="s">
        <v>12</v>
      </c>
      <c r="F297" t="s">
        <v>13</v>
      </c>
      <c r="G297" t="s">
        <v>20</v>
      </c>
      <c r="H297" s="4">
        <v>420</v>
      </c>
      <c r="I297" s="5">
        <v>1</v>
      </c>
      <c r="K297" t="s">
        <v>27</v>
      </c>
    </row>
    <row r="298" spans="1:11" x14ac:dyDescent="0.3">
      <c r="A298">
        <v>1296</v>
      </c>
      <c r="B298" s="1">
        <v>46086</v>
      </c>
      <c r="C298" s="3">
        <v>0.84583333333333333</v>
      </c>
      <c r="D298" s="2">
        <f>tb_dados[[#This Row],[Data]]+tb_dados[[#This Row],[Hora]]</f>
        <v>46086.845833333333</v>
      </c>
      <c r="E298" t="s">
        <v>10</v>
      </c>
      <c r="F298" t="s">
        <v>16</v>
      </c>
      <c r="G298" t="s">
        <v>22</v>
      </c>
      <c r="H298" s="4">
        <v>2100</v>
      </c>
      <c r="I298" s="5">
        <v>2</v>
      </c>
      <c r="K298" t="s">
        <v>25</v>
      </c>
    </row>
    <row r="299" spans="1:11" x14ac:dyDescent="0.3">
      <c r="A299">
        <v>1297</v>
      </c>
      <c r="B299" s="1">
        <v>46106</v>
      </c>
      <c r="C299" s="3">
        <v>0.84930555555555554</v>
      </c>
      <c r="D299" s="2">
        <f>tb_dados[[#This Row],[Data]]+tb_dados[[#This Row],[Hora]]</f>
        <v>46106.849305555559</v>
      </c>
      <c r="E299" t="s">
        <v>12</v>
      </c>
      <c r="F299" t="s">
        <v>16</v>
      </c>
      <c r="G299" t="s">
        <v>19</v>
      </c>
      <c r="H299" s="4">
        <v>850</v>
      </c>
      <c r="I299" s="5">
        <v>1</v>
      </c>
      <c r="K299" t="s">
        <v>26</v>
      </c>
    </row>
    <row r="300" spans="1:11" x14ac:dyDescent="0.3">
      <c r="A300">
        <v>1298</v>
      </c>
      <c r="B300" s="1">
        <v>46108</v>
      </c>
      <c r="C300" s="3">
        <v>0.62083333333333335</v>
      </c>
      <c r="D300" s="2">
        <f>tb_dados[[#This Row],[Data]]+tb_dados[[#This Row],[Hora]]</f>
        <v>46108.620833333334</v>
      </c>
      <c r="E300" t="s">
        <v>12</v>
      </c>
      <c r="F300" t="s">
        <v>15</v>
      </c>
      <c r="G300" t="s">
        <v>19</v>
      </c>
      <c r="H300" s="4">
        <v>850</v>
      </c>
      <c r="I300" s="5">
        <v>3</v>
      </c>
      <c r="K300" t="s">
        <v>27</v>
      </c>
    </row>
    <row r="301" spans="1:11" x14ac:dyDescent="0.3">
      <c r="A301">
        <v>1299</v>
      </c>
      <c r="B301" s="1">
        <v>46078</v>
      </c>
      <c r="C301" s="3">
        <v>0.88194444444444453</v>
      </c>
      <c r="D301" s="2">
        <f>tb_dados[[#This Row],[Data]]+tb_dados[[#This Row],[Hora]]</f>
        <v>46078.881944444445</v>
      </c>
      <c r="E301" t="s">
        <v>12</v>
      </c>
      <c r="F301" t="s">
        <v>14</v>
      </c>
      <c r="G301" t="s">
        <v>20</v>
      </c>
      <c r="H301" s="4">
        <v>420</v>
      </c>
      <c r="I301" s="5">
        <v>1</v>
      </c>
      <c r="K301" t="s">
        <v>25</v>
      </c>
    </row>
    <row r="302" spans="1:11" x14ac:dyDescent="0.3">
      <c r="A302">
        <v>1300</v>
      </c>
      <c r="B302" s="1">
        <v>46102</v>
      </c>
      <c r="C302" s="3">
        <v>0.89236111111111116</v>
      </c>
      <c r="D302" s="2">
        <f>tb_dados[[#This Row],[Data]]+tb_dados[[#This Row],[Hora]]</f>
        <v>46102.892361111109</v>
      </c>
      <c r="E302" t="s">
        <v>10</v>
      </c>
      <c r="F302" t="s">
        <v>16</v>
      </c>
      <c r="G302" t="s">
        <v>22</v>
      </c>
      <c r="H302" s="4">
        <v>2100</v>
      </c>
      <c r="I302" s="5">
        <v>2</v>
      </c>
      <c r="K302" t="s">
        <v>25</v>
      </c>
    </row>
    <row r="303" spans="1:11" x14ac:dyDescent="0.3">
      <c r="A303">
        <v>1301</v>
      </c>
      <c r="B303" s="1">
        <v>46105</v>
      </c>
      <c r="C303" s="3">
        <v>0.41388888888888892</v>
      </c>
      <c r="D303" s="2">
        <f>tb_dados[[#This Row],[Data]]+tb_dados[[#This Row],[Hora]]</f>
        <v>46105.413888888892</v>
      </c>
      <c r="E303" t="s">
        <v>11</v>
      </c>
      <c r="F303" t="s">
        <v>14</v>
      </c>
      <c r="G303" t="s">
        <v>18</v>
      </c>
      <c r="H303" s="4">
        <v>120</v>
      </c>
      <c r="I303" s="5">
        <v>3</v>
      </c>
      <c r="K303" t="s">
        <v>26</v>
      </c>
    </row>
    <row r="304" spans="1:11" x14ac:dyDescent="0.3">
      <c r="A304">
        <v>1302</v>
      </c>
      <c r="B304" s="1">
        <v>46090</v>
      </c>
      <c r="C304" s="3">
        <v>0.92083333333333339</v>
      </c>
      <c r="D304" s="2">
        <f>tb_dados[[#This Row],[Data]]+tb_dados[[#This Row],[Hora]]</f>
        <v>46090.92083333333</v>
      </c>
      <c r="E304" t="s">
        <v>12</v>
      </c>
      <c r="F304" t="s">
        <v>15</v>
      </c>
      <c r="G304" t="s">
        <v>20</v>
      </c>
      <c r="H304" s="4">
        <v>420</v>
      </c>
      <c r="I304" s="5">
        <v>2</v>
      </c>
      <c r="K304" t="s">
        <v>28</v>
      </c>
    </row>
    <row r="305" spans="1:11" x14ac:dyDescent="0.3">
      <c r="A305">
        <v>1303</v>
      </c>
      <c r="B305" s="1">
        <v>46090</v>
      </c>
      <c r="C305" s="3">
        <v>0.63124999999999998</v>
      </c>
      <c r="D305" s="2">
        <f>tb_dados[[#This Row],[Data]]+tb_dados[[#This Row],[Hora]]</f>
        <v>46090.631249999999</v>
      </c>
      <c r="E305" t="s">
        <v>11</v>
      </c>
      <c r="F305" t="s">
        <v>15</v>
      </c>
      <c r="G305" t="s">
        <v>18</v>
      </c>
      <c r="H305" s="4">
        <v>120</v>
      </c>
      <c r="I305" s="5">
        <v>1</v>
      </c>
      <c r="K305" t="s">
        <v>25</v>
      </c>
    </row>
    <row r="306" spans="1:11" x14ac:dyDescent="0.3">
      <c r="A306">
        <v>1304</v>
      </c>
      <c r="B306" s="1">
        <v>46100</v>
      </c>
      <c r="C306" s="3">
        <v>0.72222222222222221</v>
      </c>
      <c r="D306" s="2">
        <f>tb_dados[[#This Row],[Data]]+tb_dados[[#This Row],[Hora]]</f>
        <v>46100.722222222219</v>
      </c>
      <c r="E306" t="s">
        <v>12</v>
      </c>
      <c r="F306" t="s">
        <v>16</v>
      </c>
      <c r="G306" t="s">
        <v>20</v>
      </c>
      <c r="H306" s="4">
        <v>420</v>
      </c>
      <c r="I306" s="5">
        <v>3</v>
      </c>
      <c r="K306" t="s">
        <v>27</v>
      </c>
    </row>
    <row r="307" spans="1:11" x14ac:dyDescent="0.3">
      <c r="A307">
        <v>1305</v>
      </c>
      <c r="B307" s="1">
        <v>46099</v>
      </c>
      <c r="C307" s="3">
        <v>0.4548611111111111</v>
      </c>
      <c r="D307" s="2">
        <f>tb_dados[[#This Row],[Data]]+tb_dados[[#This Row],[Hora]]</f>
        <v>46099.454861111109</v>
      </c>
      <c r="E307" t="s">
        <v>12</v>
      </c>
      <c r="F307" t="s">
        <v>15</v>
      </c>
      <c r="G307" t="s">
        <v>20</v>
      </c>
      <c r="H307" s="4">
        <v>420</v>
      </c>
      <c r="I307" s="5">
        <v>2</v>
      </c>
      <c r="K307" t="s">
        <v>25</v>
      </c>
    </row>
    <row r="308" spans="1:11" x14ac:dyDescent="0.3">
      <c r="A308">
        <v>1306</v>
      </c>
      <c r="B308" s="1">
        <v>46103</v>
      </c>
      <c r="C308" s="3">
        <v>0.88124999999999998</v>
      </c>
      <c r="D308" s="2">
        <f>tb_dados[[#This Row],[Data]]+tb_dados[[#This Row],[Hora]]</f>
        <v>46103.881249999999</v>
      </c>
      <c r="E308" t="s">
        <v>12</v>
      </c>
      <c r="F308" t="s">
        <v>14</v>
      </c>
      <c r="G308" t="s">
        <v>19</v>
      </c>
      <c r="H308" s="4">
        <v>850</v>
      </c>
      <c r="I308" s="5">
        <v>2</v>
      </c>
      <c r="K308" t="s">
        <v>28</v>
      </c>
    </row>
    <row r="309" spans="1:11" x14ac:dyDescent="0.3">
      <c r="A309">
        <v>1307</v>
      </c>
      <c r="B309" s="1">
        <v>46105</v>
      </c>
      <c r="C309" s="3">
        <v>0.55902777777777779</v>
      </c>
      <c r="D309" s="2">
        <f>tb_dados[[#This Row],[Data]]+tb_dados[[#This Row],[Hora]]</f>
        <v>46105.559027777781</v>
      </c>
      <c r="E309" t="s">
        <v>12</v>
      </c>
      <c r="F309" t="s">
        <v>13</v>
      </c>
      <c r="G309" t="s">
        <v>20</v>
      </c>
      <c r="H309" s="4">
        <v>420</v>
      </c>
      <c r="I309" s="5">
        <v>2</v>
      </c>
      <c r="K309" t="s">
        <v>26</v>
      </c>
    </row>
    <row r="310" spans="1:11" x14ac:dyDescent="0.3">
      <c r="A310">
        <v>1308</v>
      </c>
      <c r="B310" s="1">
        <v>46083</v>
      </c>
      <c r="C310" s="3">
        <v>0.6875</v>
      </c>
      <c r="D310" s="2">
        <f>tb_dados[[#This Row],[Data]]+tb_dados[[#This Row],[Hora]]</f>
        <v>46083.6875</v>
      </c>
      <c r="E310" t="s">
        <v>11</v>
      </c>
      <c r="F310" t="s">
        <v>14</v>
      </c>
      <c r="G310" t="s">
        <v>24</v>
      </c>
      <c r="H310" s="4">
        <v>280</v>
      </c>
      <c r="I310" s="5">
        <v>1</v>
      </c>
      <c r="K310" t="s">
        <v>26</v>
      </c>
    </row>
    <row r="311" spans="1:11" x14ac:dyDescent="0.3">
      <c r="A311">
        <v>1309</v>
      </c>
      <c r="B311" s="1">
        <v>46078</v>
      </c>
      <c r="C311" s="3">
        <v>0.74652777777777779</v>
      </c>
      <c r="D311" s="2">
        <f>tb_dados[[#This Row],[Data]]+tb_dados[[#This Row],[Hora]]</f>
        <v>46078.746527777781</v>
      </c>
      <c r="E311" t="s">
        <v>10</v>
      </c>
      <c r="F311" t="s">
        <v>16</v>
      </c>
      <c r="G311" t="s">
        <v>22</v>
      </c>
      <c r="H311" s="4">
        <v>2100</v>
      </c>
      <c r="I311" s="5">
        <v>1</v>
      </c>
      <c r="K311" t="s">
        <v>25</v>
      </c>
    </row>
    <row r="312" spans="1:11" x14ac:dyDescent="0.3">
      <c r="A312">
        <v>1310</v>
      </c>
      <c r="B312" s="1">
        <v>46082</v>
      </c>
      <c r="C312" s="3">
        <v>0.87708333333333333</v>
      </c>
      <c r="D312" s="2">
        <f>tb_dados[[#This Row],[Data]]+tb_dados[[#This Row],[Hora]]</f>
        <v>46082.877083333333</v>
      </c>
      <c r="E312" t="s">
        <v>11</v>
      </c>
      <c r="F312" t="s">
        <v>13</v>
      </c>
      <c r="G312" t="s">
        <v>24</v>
      </c>
      <c r="H312" s="4">
        <v>280</v>
      </c>
      <c r="I312" s="5">
        <v>2</v>
      </c>
      <c r="K312" t="s">
        <v>28</v>
      </c>
    </row>
    <row r="313" spans="1:11" x14ac:dyDescent="0.3">
      <c r="A313">
        <v>1311</v>
      </c>
      <c r="B313" s="1">
        <v>46082</v>
      </c>
      <c r="C313" s="3">
        <v>0.65347222222222223</v>
      </c>
      <c r="D313" s="2">
        <f>tb_dados[[#This Row],[Data]]+tb_dados[[#This Row],[Hora]]</f>
        <v>46082.65347222222</v>
      </c>
      <c r="E313" t="s">
        <v>11</v>
      </c>
      <c r="F313" t="s">
        <v>16</v>
      </c>
      <c r="G313" t="s">
        <v>24</v>
      </c>
      <c r="H313" s="4">
        <v>280</v>
      </c>
      <c r="I313" s="5">
        <v>3</v>
      </c>
      <c r="K313" t="s">
        <v>26</v>
      </c>
    </row>
    <row r="314" spans="1:11" x14ac:dyDescent="0.3">
      <c r="A314">
        <v>1312</v>
      </c>
      <c r="B314" s="1">
        <v>46105</v>
      </c>
      <c r="C314" s="3">
        <v>0.38263888888888892</v>
      </c>
      <c r="D314" s="2">
        <f>tb_dados[[#This Row],[Data]]+tb_dados[[#This Row],[Hora]]</f>
        <v>46105.382638888892</v>
      </c>
      <c r="E314" t="s">
        <v>12</v>
      </c>
      <c r="F314" t="s">
        <v>16</v>
      </c>
      <c r="G314" t="s">
        <v>20</v>
      </c>
      <c r="H314" s="4">
        <v>420</v>
      </c>
      <c r="I314" s="5">
        <v>2</v>
      </c>
      <c r="K314" t="s">
        <v>25</v>
      </c>
    </row>
    <row r="315" spans="1:11" x14ac:dyDescent="0.3">
      <c r="A315">
        <v>1313</v>
      </c>
      <c r="B315" s="1">
        <v>46104</v>
      </c>
      <c r="C315" s="3">
        <v>0.80763888888888891</v>
      </c>
      <c r="D315" s="2">
        <f>tb_dados[[#This Row],[Data]]+tb_dados[[#This Row],[Hora]]</f>
        <v>46104.807638888888</v>
      </c>
      <c r="E315" t="s">
        <v>11</v>
      </c>
      <c r="F315" t="s">
        <v>14</v>
      </c>
      <c r="G315" t="s">
        <v>24</v>
      </c>
      <c r="H315" s="4">
        <v>280</v>
      </c>
      <c r="I315" s="5">
        <v>1</v>
      </c>
      <c r="K315" t="s">
        <v>25</v>
      </c>
    </row>
    <row r="316" spans="1:11" x14ac:dyDescent="0.3">
      <c r="A316">
        <v>1314</v>
      </c>
      <c r="B316" s="1">
        <v>46093</v>
      </c>
      <c r="C316" s="3">
        <v>0.42569444444444443</v>
      </c>
      <c r="D316" s="2">
        <f>tb_dados[[#This Row],[Data]]+tb_dados[[#This Row],[Hora]]</f>
        <v>46093.425694444442</v>
      </c>
      <c r="E316" t="s">
        <v>12</v>
      </c>
      <c r="F316" t="s">
        <v>14</v>
      </c>
      <c r="G316" t="s">
        <v>19</v>
      </c>
      <c r="H316" s="4">
        <v>850</v>
      </c>
      <c r="I316" s="5">
        <v>1</v>
      </c>
      <c r="K316" t="s">
        <v>27</v>
      </c>
    </row>
    <row r="317" spans="1:11" x14ac:dyDescent="0.3">
      <c r="A317">
        <v>1315</v>
      </c>
      <c r="B317" s="1">
        <v>46086</v>
      </c>
      <c r="C317" s="3">
        <v>0.71944444444444444</v>
      </c>
      <c r="D317" s="2">
        <f>tb_dados[[#This Row],[Data]]+tb_dados[[#This Row],[Hora]]</f>
        <v>46086.719444444447</v>
      </c>
      <c r="E317" t="s">
        <v>10</v>
      </c>
      <c r="F317" t="s">
        <v>14</v>
      </c>
      <c r="G317" t="s">
        <v>22</v>
      </c>
      <c r="H317" s="4">
        <v>2100</v>
      </c>
      <c r="I317" s="5">
        <v>1</v>
      </c>
      <c r="K317" t="s">
        <v>25</v>
      </c>
    </row>
    <row r="318" spans="1:11" x14ac:dyDescent="0.3">
      <c r="A318">
        <v>1316</v>
      </c>
      <c r="B318" s="1">
        <v>46082</v>
      </c>
      <c r="C318" s="3">
        <v>0.63055555555555554</v>
      </c>
      <c r="D318" s="2">
        <f>tb_dados[[#This Row],[Data]]+tb_dados[[#This Row],[Hora]]</f>
        <v>46082.630555555559</v>
      </c>
      <c r="E318" t="s">
        <v>10</v>
      </c>
      <c r="F318" t="s">
        <v>13</v>
      </c>
      <c r="G318" t="s">
        <v>17</v>
      </c>
      <c r="H318" s="4">
        <v>900</v>
      </c>
      <c r="I318" s="5">
        <v>2</v>
      </c>
      <c r="K318" t="s">
        <v>25</v>
      </c>
    </row>
    <row r="319" spans="1:11" x14ac:dyDescent="0.3">
      <c r="A319">
        <v>1317</v>
      </c>
      <c r="B319" s="1">
        <v>46090</v>
      </c>
      <c r="C319" s="3">
        <v>0.76250000000000007</v>
      </c>
      <c r="D319" s="2">
        <f>tb_dados[[#This Row],[Data]]+tb_dados[[#This Row],[Hora]]</f>
        <v>46090.762499999997</v>
      </c>
      <c r="E319" t="s">
        <v>11</v>
      </c>
      <c r="F319" t="s">
        <v>15</v>
      </c>
      <c r="G319" t="s">
        <v>21</v>
      </c>
      <c r="H319" s="4">
        <v>350</v>
      </c>
      <c r="I319" s="5">
        <v>3</v>
      </c>
      <c r="K319" t="s">
        <v>27</v>
      </c>
    </row>
    <row r="320" spans="1:11" x14ac:dyDescent="0.3">
      <c r="A320">
        <v>1318</v>
      </c>
      <c r="B320" s="1">
        <v>46098</v>
      </c>
      <c r="C320" s="3">
        <v>0.79652777777777783</v>
      </c>
      <c r="D320" s="2">
        <f>tb_dados[[#This Row],[Data]]+tb_dados[[#This Row],[Hora]]</f>
        <v>46098.796527777777</v>
      </c>
      <c r="E320" t="s">
        <v>11</v>
      </c>
      <c r="F320" t="s">
        <v>15</v>
      </c>
      <c r="G320" t="s">
        <v>18</v>
      </c>
      <c r="H320" s="4">
        <v>120</v>
      </c>
      <c r="I320" s="5">
        <v>1</v>
      </c>
      <c r="K320" t="s">
        <v>28</v>
      </c>
    </row>
    <row r="321" spans="1:11" x14ac:dyDescent="0.3">
      <c r="A321">
        <v>1319</v>
      </c>
      <c r="B321" s="1">
        <v>46090</v>
      </c>
      <c r="C321" s="3">
        <v>0.51944444444444449</v>
      </c>
      <c r="D321" s="2">
        <f>tb_dados[[#This Row],[Data]]+tb_dados[[#This Row],[Hora]]</f>
        <v>46090.519444444442</v>
      </c>
      <c r="E321" t="s">
        <v>10</v>
      </c>
      <c r="F321" t="s">
        <v>16</v>
      </c>
      <c r="G321" t="s">
        <v>22</v>
      </c>
      <c r="H321" s="4">
        <v>2100</v>
      </c>
      <c r="I321" s="5">
        <v>1</v>
      </c>
      <c r="K321" t="s">
        <v>25</v>
      </c>
    </row>
    <row r="322" spans="1:11" x14ac:dyDescent="0.3">
      <c r="A322">
        <v>1320</v>
      </c>
      <c r="B322" s="1">
        <v>46088</v>
      </c>
      <c r="C322" s="3">
        <v>0.7944444444444444</v>
      </c>
      <c r="D322" s="2">
        <f>tb_dados[[#This Row],[Data]]+tb_dados[[#This Row],[Hora]]</f>
        <v>46088.794444444444</v>
      </c>
      <c r="E322" t="s">
        <v>11</v>
      </c>
      <c r="F322" t="s">
        <v>15</v>
      </c>
      <c r="G322" t="s">
        <v>18</v>
      </c>
      <c r="H322" s="4">
        <v>120</v>
      </c>
      <c r="I322" s="5">
        <v>2</v>
      </c>
      <c r="K322" t="s">
        <v>27</v>
      </c>
    </row>
    <row r="323" spans="1:11" x14ac:dyDescent="0.3">
      <c r="A323">
        <v>1321</v>
      </c>
      <c r="B323" s="1">
        <v>46099</v>
      </c>
      <c r="C323" s="3">
        <v>0.51041666666666663</v>
      </c>
      <c r="D323" s="2">
        <f>tb_dados[[#This Row],[Data]]+tb_dados[[#This Row],[Hora]]</f>
        <v>46099.510416666664</v>
      </c>
      <c r="E323" t="s">
        <v>11</v>
      </c>
      <c r="F323" t="s">
        <v>14</v>
      </c>
      <c r="G323" t="s">
        <v>18</v>
      </c>
      <c r="H323" s="4">
        <v>120</v>
      </c>
      <c r="I323" s="5">
        <v>3</v>
      </c>
      <c r="K323" t="s">
        <v>25</v>
      </c>
    </row>
    <row r="324" spans="1:11" x14ac:dyDescent="0.3">
      <c r="A324">
        <v>1322</v>
      </c>
      <c r="B324" s="1">
        <v>46097</v>
      </c>
      <c r="C324" s="3">
        <v>0.78263888888888899</v>
      </c>
      <c r="D324" s="2">
        <f>tb_dados[[#This Row],[Data]]+tb_dados[[#This Row],[Hora]]</f>
        <v>46097.782638888886</v>
      </c>
      <c r="E324" t="s">
        <v>11</v>
      </c>
      <c r="F324" t="s">
        <v>16</v>
      </c>
      <c r="G324" t="s">
        <v>21</v>
      </c>
      <c r="H324" s="4">
        <v>350</v>
      </c>
      <c r="I324" s="5">
        <v>1</v>
      </c>
      <c r="K324" t="s">
        <v>25</v>
      </c>
    </row>
    <row r="325" spans="1:11" x14ac:dyDescent="0.3">
      <c r="A325">
        <v>1323</v>
      </c>
      <c r="B325" s="1">
        <v>46094</v>
      </c>
      <c r="C325" s="3">
        <v>0.93958333333333333</v>
      </c>
      <c r="D325" s="2">
        <f>tb_dados[[#This Row],[Data]]+tb_dados[[#This Row],[Hora]]</f>
        <v>46094.939583333333</v>
      </c>
      <c r="E325" t="s">
        <v>11</v>
      </c>
      <c r="F325" t="s">
        <v>13</v>
      </c>
      <c r="G325" t="s">
        <v>24</v>
      </c>
      <c r="H325" s="4">
        <v>280</v>
      </c>
      <c r="I325" s="5">
        <v>2</v>
      </c>
      <c r="K325" t="s">
        <v>28</v>
      </c>
    </row>
    <row r="326" spans="1:11" x14ac:dyDescent="0.3">
      <c r="A326">
        <v>1324</v>
      </c>
      <c r="B326" s="1">
        <v>46099</v>
      </c>
      <c r="C326" s="3">
        <v>0.77430555555555547</v>
      </c>
      <c r="D326" s="2">
        <f>tb_dados[[#This Row],[Data]]+tb_dados[[#This Row],[Hora]]</f>
        <v>46099.774305555555</v>
      </c>
      <c r="E326" t="s">
        <v>10</v>
      </c>
      <c r="F326" t="s">
        <v>16</v>
      </c>
      <c r="G326" t="s">
        <v>23</v>
      </c>
      <c r="H326" s="4">
        <v>4500</v>
      </c>
      <c r="I326" s="5">
        <v>3</v>
      </c>
      <c r="K326" t="s">
        <v>26</v>
      </c>
    </row>
    <row r="327" spans="1:11" x14ac:dyDescent="0.3">
      <c r="A327">
        <v>1325</v>
      </c>
      <c r="B327" s="1">
        <v>46086</v>
      </c>
      <c r="C327" s="3">
        <v>0.65833333333333333</v>
      </c>
      <c r="D327" s="2">
        <f>tb_dados[[#This Row],[Data]]+tb_dados[[#This Row],[Hora]]</f>
        <v>46086.658333333333</v>
      </c>
      <c r="E327" t="s">
        <v>11</v>
      </c>
      <c r="F327" t="s">
        <v>16</v>
      </c>
      <c r="G327" t="s">
        <v>21</v>
      </c>
      <c r="H327" s="4">
        <v>350</v>
      </c>
      <c r="I327" s="5">
        <v>2</v>
      </c>
      <c r="K327" t="s">
        <v>26</v>
      </c>
    </row>
    <row r="328" spans="1:11" x14ac:dyDescent="0.3">
      <c r="A328">
        <v>1326</v>
      </c>
      <c r="B328" s="1">
        <v>46082</v>
      </c>
      <c r="C328" s="3">
        <v>0.55555555555555558</v>
      </c>
      <c r="D328" s="2">
        <f>tb_dados[[#This Row],[Data]]+tb_dados[[#This Row],[Hora]]</f>
        <v>46082.555555555555</v>
      </c>
      <c r="E328" t="s">
        <v>11</v>
      </c>
      <c r="F328" t="s">
        <v>14</v>
      </c>
      <c r="G328" t="s">
        <v>18</v>
      </c>
      <c r="H328" s="4">
        <v>120</v>
      </c>
      <c r="I328" s="5">
        <v>3</v>
      </c>
      <c r="K328" t="s">
        <v>26</v>
      </c>
    </row>
    <row r="329" spans="1:11" x14ac:dyDescent="0.3">
      <c r="A329">
        <v>1327</v>
      </c>
      <c r="B329" s="1">
        <v>46079</v>
      </c>
      <c r="C329" s="3">
        <v>0.5805555555555556</v>
      </c>
      <c r="D329" s="2">
        <f>tb_dados[[#This Row],[Data]]+tb_dados[[#This Row],[Hora]]</f>
        <v>46079.580555555556</v>
      </c>
      <c r="E329" t="s">
        <v>11</v>
      </c>
      <c r="F329" t="s">
        <v>16</v>
      </c>
      <c r="G329" t="s">
        <v>24</v>
      </c>
      <c r="H329" s="4">
        <v>280</v>
      </c>
      <c r="I329" s="5">
        <v>2</v>
      </c>
      <c r="K329" t="s">
        <v>28</v>
      </c>
    </row>
    <row r="330" spans="1:11" x14ac:dyDescent="0.3">
      <c r="A330">
        <v>1328</v>
      </c>
      <c r="B330" s="1">
        <v>46100</v>
      </c>
      <c r="C330" s="3">
        <v>0.40972222222222227</v>
      </c>
      <c r="D330" s="2">
        <f>tb_dados[[#This Row],[Data]]+tb_dados[[#This Row],[Hora]]</f>
        <v>46100.409722222219</v>
      </c>
      <c r="E330" t="s">
        <v>12</v>
      </c>
      <c r="F330" t="s">
        <v>16</v>
      </c>
      <c r="G330" t="s">
        <v>20</v>
      </c>
      <c r="H330" s="4">
        <v>420</v>
      </c>
      <c r="I330" s="5">
        <v>2</v>
      </c>
      <c r="K330" t="s">
        <v>26</v>
      </c>
    </row>
    <row r="331" spans="1:11" x14ac:dyDescent="0.3">
      <c r="A331">
        <v>1329</v>
      </c>
      <c r="B331" s="1">
        <v>46106</v>
      </c>
      <c r="C331" s="3">
        <v>0.94861111111111107</v>
      </c>
      <c r="D331" s="2">
        <f>tb_dados[[#This Row],[Data]]+tb_dados[[#This Row],[Hora]]</f>
        <v>46106.948611111111</v>
      </c>
      <c r="E331" t="s">
        <v>11</v>
      </c>
      <c r="F331" t="s">
        <v>16</v>
      </c>
      <c r="G331" t="s">
        <v>18</v>
      </c>
      <c r="H331" s="4">
        <v>120</v>
      </c>
      <c r="I331" s="5">
        <v>2</v>
      </c>
      <c r="K331" t="s">
        <v>28</v>
      </c>
    </row>
    <row r="332" spans="1:11" x14ac:dyDescent="0.3">
      <c r="A332">
        <v>1330</v>
      </c>
      <c r="B332" s="1">
        <v>46081</v>
      </c>
      <c r="C332" s="3">
        <v>0.68680555555555556</v>
      </c>
      <c r="D332" s="2">
        <f>tb_dados[[#This Row],[Data]]+tb_dados[[#This Row],[Hora]]</f>
        <v>46081.686805555553</v>
      </c>
      <c r="E332" t="s">
        <v>11</v>
      </c>
      <c r="F332" t="s">
        <v>15</v>
      </c>
      <c r="G332" t="s">
        <v>18</v>
      </c>
      <c r="H332" s="4">
        <v>120</v>
      </c>
      <c r="I332" s="5">
        <v>2</v>
      </c>
      <c r="K332" t="s">
        <v>25</v>
      </c>
    </row>
    <row r="333" spans="1:11" x14ac:dyDescent="0.3">
      <c r="A333">
        <v>1331</v>
      </c>
      <c r="B333" s="1">
        <v>46086</v>
      </c>
      <c r="C333" s="3">
        <v>0.75138888888888899</v>
      </c>
      <c r="D333" s="2">
        <f>tb_dados[[#This Row],[Data]]+tb_dados[[#This Row],[Hora]]</f>
        <v>46086.751388888886</v>
      </c>
      <c r="E333" t="s">
        <v>12</v>
      </c>
      <c r="F333" t="s">
        <v>13</v>
      </c>
      <c r="G333" t="s">
        <v>20</v>
      </c>
      <c r="H333" s="4">
        <v>420</v>
      </c>
      <c r="I333" s="5">
        <v>3</v>
      </c>
      <c r="K333" t="s">
        <v>25</v>
      </c>
    </row>
    <row r="334" spans="1:11" x14ac:dyDescent="0.3">
      <c r="A334">
        <v>1332</v>
      </c>
      <c r="B334" s="1">
        <v>46089</v>
      </c>
      <c r="C334" s="3">
        <v>0.89097222222222217</v>
      </c>
      <c r="D334" s="2">
        <f>tb_dados[[#This Row],[Data]]+tb_dados[[#This Row],[Hora]]</f>
        <v>46089.890972222223</v>
      </c>
      <c r="E334" t="s">
        <v>12</v>
      </c>
      <c r="F334" t="s">
        <v>14</v>
      </c>
      <c r="G334" t="s">
        <v>19</v>
      </c>
      <c r="H334" s="4">
        <v>850</v>
      </c>
      <c r="I334" s="5">
        <v>1</v>
      </c>
      <c r="K334" t="s">
        <v>28</v>
      </c>
    </row>
    <row r="335" spans="1:11" x14ac:dyDescent="0.3">
      <c r="A335">
        <v>1333</v>
      </c>
      <c r="B335" s="1">
        <v>46088</v>
      </c>
      <c r="C335" s="3">
        <v>0.75347222222222221</v>
      </c>
      <c r="D335" s="2">
        <f>tb_dados[[#This Row],[Data]]+tb_dados[[#This Row],[Hora]]</f>
        <v>46088.753472222219</v>
      </c>
      <c r="E335" t="s">
        <v>10</v>
      </c>
      <c r="F335" t="s">
        <v>13</v>
      </c>
      <c r="G335" t="s">
        <v>23</v>
      </c>
      <c r="H335" s="4">
        <v>4500</v>
      </c>
      <c r="I335" s="5">
        <v>1</v>
      </c>
      <c r="K335" t="s">
        <v>28</v>
      </c>
    </row>
    <row r="336" spans="1:11" x14ac:dyDescent="0.3">
      <c r="A336">
        <v>1334</v>
      </c>
      <c r="B336" s="1">
        <v>46108</v>
      </c>
      <c r="C336" s="3">
        <v>0.62638888888888888</v>
      </c>
      <c r="D336" s="2">
        <f>tb_dados[[#This Row],[Data]]+tb_dados[[#This Row],[Hora]]</f>
        <v>46108.626388888886</v>
      </c>
      <c r="E336" t="s">
        <v>11</v>
      </c>
      <c r="F336" t="s">
        <v>13</v>
      </c>
      <c r="G336" t="s">
        <v>21</v>
      </c>
      <c r="H336" s="4">
        <v>350</v>
      </c>
      <c r="I336" s="5">
        <v>1</v>
      </c>
      <c r="K336" t="s">
        <v>28</v>
      </c>
    </row>
    <row r="337" spans="1:11" x14ac:dyDescent="0.3">
      <c r="A337">
        <v>1335</v>
      </c>
      <c r="B337" s="1">
        <v>46087</v>
      </c>
      <c r="C337" s="3">
        <v>0.92222222222222217</v>
      </c>
      <c r="D337" s="2">
        <f>tb_dados[[#This Row],[Data]]+tb_dados[[#This Row],[Hora]]</f>
        <v>46087.922222222223</v>
      </c>
      <c r="E337" t="s">
        <v>12</v>
      </c>
      <c r="F337" t="s">
        <v>14</v>
      </c>
      <c r="G337" t="s">
        <v>20</v>
      </c>
      <c r="H337" s="4">
        <v>420</v>
      </c>
      <c r="I337" s="5">
        <v>1</v>
      </c>
      <c r="K337" t="s">
        <v>27</v>
      </c>
    </row>
    <row r="338" spans="1:11" x14ac:dyDescent="0.3">
      <c r="A338">
        <v>1336</v>
      </c>
      <c r="B338" s="1">
        <v>46093</v>
      </c>
      <c r="C338" s="3">
        <v>0.78680555555555554</v>
      </c>
      <c r="D338" s="2">
        <f>tb_dados[[#This Row],[Data]]+tb_dados[[#This Row],[Hora]]</f>
        <v>46093.786805555559</v>
      </c>
      <c r="E338" t="s">
        <v>12</v>
      </c>
      <c r="F338" t="s">
        <v>13</v>
      </c>
      <c r="G338" t="s">
        <v>20</v>
      </c>
      <c r="H338" s="4">
        <v>420</v>
      </c>
      <c r="I338" s="5">
        <v>1</v>
      </c>
      <c r="K338" t="s">
        <v>26</v>
      </c>
    </row>
    <row r="339" spans="1:11" x14ac:dyDescent="0.3">
      <c r="A339">
        <v>1337</v>
      </c>
      <c r="B339" s="1">
        <v>46097</v>
      </c>
      <c r="C339" s="3">
        <v>0.91319444444444453</v>
      </c>
      <c r="D339" s="2">
        <f>tb_dados[[#This Row],[Data]]+tb_dados[[#This Row],[Hora]]</f>
        <v>46097.913194444445</v>
      </c>
      <c r="E339" t="s">
        <v>11</v>
      </c>
      <c r="F339" t="s">
        <v>16</v>
      </c>
      <c r="G339" t="s">
        <v>24</v>
      </c>
      <c r="H339" s="4">
        <v>280</v>
      </c>
      <c r="I339" s="5">
        <v>2</v>
      </c>
      <c r="K339" t="s">
        <v>28</v>
      </c>
    </row>
    <row r="340" spans="1:11" x14ac:dyDescent="0.3">
      <c r="A340">
        <v>1338</v>
      </c>
      <c r="B340" s="1">
        <v>46106</v>
      </c>
      <c r="C340" s="3">
        <v>0.50416666666666665</v>
      </c>
      <c r="D340" s="2">
        <f>tb_dados[[#This Row],[Data]]+tb_dados[[#This Row],[Hora]]</f>
        <v>46106.504166666666</v>
      </c>
      <c r="E340" t="s">
        <v>11</v>
      </c>
      <c r="F340" t="s">
        <v>15</v>
      </c>
      <c r="G340" t="s">
        <v>24</v>
      </c>
      <c r="H340" s="4">
        <v>280</v>
      </c>
      <c r="I340" s="5">
        <v>1</v>
      </c>
      <c r="K340" t="s">
        <v>25</v>
      </c>
    </row>
    <row r="341" spans="1:11" x14ac:dyDescent="0.3">
      <c r="A341">
        <v>1339</v>
      </c>
      <c r="B341" s="1">
        <v>46086</v>
      </c>
      <c r="C341" s="3">
        <v>0.77777777777777779</v>
      </c>
      <c r="D341" s="2">
        <f>tb_dados[[#This Row],[Data]]+tb_dados[[#This Row],[Hora]]</f>
        <v>46086.777777777781</v>
      </c>
      <c r="E341" t="s">
        <v>11</v>
      </c>
      <c r="F341" t="s">
        <v>14</v>
      </c>
      <c r="G341" t="s">
        <v>24</v>
      </c>
      <c r="H341" s="4">
        <v>280</v>
      </c>
      <c r="I341" s="5">
        <v>3</v>
      </c>
      <c r="K341" t="s">
        <v>28</v>
      </c>
    </row>
    <row r="342" spans="1:11" x14ac:dyDescent="0.3">
      <c r="A342">
        <v>1340</v>
      </c>
      <c r="B342" s="1">
        <v>46091</v>
      </c>
      <c r="C342" s="3">
        <v>0.43888888888888888</v>
      </c>
      <c r="D342" s="2">
        <f>tb_dados[[#This Row],[Data]]+tb_dados[[#This Row],[Hora]]</f>
        <v>46091.438888888886</v>
      </c>
      <c r="E342" t="s">
        <v>11</v>
      </c>
      <c r="F342" t="s">
        <v>14</v>
      </c>
      <c r="G342" t="s">
        <v>18</v>
      </c>
      <c r="H342" s="4">
        <v>120</v>
      </c>
      <c r="I342" s="5">
        <v>2</v>
      </c>
      <c r="K342" t="s">
        <v>26</v>
      </c>
    </row>
    <row r="343" spans="1:11" x14ac:dyDescent="0.3">
      <c r="A343">
        <v>1341</v>
      </c>
      <c r="B343" s="1">
        <v>46090</v>
      </c>
      <c r="C343" s="3">
        <v>0.87013888888888891</v>
      </c>
      <c r="D343" s="2">
        <f>tb_dados[[#This Row],[Data]]+tb_dados[[#This Row],[Hora]]</f>
        <v>46090.870138888888</v>
      </c>
      <c r="E343" t="s">
        <v>12</v>
      </c>
      <c r="F343" t="s">
        <v>15</v>
      </c>
      <c r="G343" t="s">
        <v>20</v>
      </c>
      <c r="H343" s="4">
        <v>420</v>
      </c>
      <c r="I343" s="5">
        <v>1</v>
      </c>
      <c r="K343" t="s">
        <v>28</v>
      </c>
    </row>
    <row r="344" spans="1:11" x14ac:dyDescent="0.3">
      <c r="A344">
        <v>1342</v>
      </c>
      <c r="B344" s="1">
        <v>46104</v>
      </c>
      <c r="C344" s="3">
        <v>0.36527777777777781</v>
      </c>
      <c r="D344" s="2">
        <f>tb_dados[[#This Row],[Data]]+tb_dados[[#This Row],[Hora]]</f>
        <v>46104.365277777775</v>
      </c>
      <c r="E344" t="s">
        <v>12</v>
      </c>
      <c r="F344" t="s">
        <v>13</v>
      </c>
      <c r="G344" t="s">
        <v>19</v>
      </c>
      <c r="H344" s="4">
        <v>850</v>
      </c>
      <c r="I344" s="5">
        <v>1</v>
      </c>
      <c r="K344" t="s">
        <v>28</v>
      </c>
    </row>
    <row r="345" spans="1:11" x14ac:dyDescent="0.3">
      <c r="A345">
        <v>1343</v>
      </c>
      <c r="B345" s="1">
        <v>46079</v>
      </c>
      <c r="C345" s="3">
        <v>0.39027777777777778</v>
      </c>
      <c r="D345" s="2">
        <f>tb_dados[[#This Row],[Data]]+tb_dados[[#This Row],[Hora]]</f>
        <v>46079.390277777777</v>
      </c>
      <c r="E345" t="s">
        <v>11</v>
      </c>
      <c r="F345" t="s">
        <v>15</v>
      </c>
      <c r="G345" t="s">
        <v>24</v>
      </c>
      <c r="H345" s="4">
        <v>280</v>
      </c>
      <c r="I345" s="5">
        <v>1</v>
      </c>
      <c r="K345" t="s">
        <v>28</v>
      </c>
    </row>
    <row r="346" spans="1:11" x14ac:dyDescent="0.3">
      <c r="A346">
        <v>1344</v>
      </c>
      <c r="B346" s="1">
        <v>46081</v>
      </c>
      <c r="C346" s="3">
        <v>0.61736111111111114</v>
      </c>
      <c r="D346" s="2">
        <f>tb_dados[[#This Row],[Data]]+tb_dados[[#This Row],[Hora]]</f>
        <v>46081.617361111108</v>
      </c>
      <c r="E346" t="s">
        <v>11</v>
      </c>
      <c r="F346" t="s">
        <v>16</v>
      </c>
      <c r="G346" t="s">
        <v>18</v>
      </c>
      <c r="H346" s="4">
        <v>120</v>
      </c>
      <c r="I346" s="5">
        <v>2</v>
      </c>
      <c r="K346" t="s">
        <v>27</v>
      </c>
    </row>
    <row r="347" spans="1:11" x14ac:dyDescent="0.3">
      <c r="A347">
        <v>1345</v>
      </c>
      <c r="B347" s="1">
        <v>46078</v>
      </c>
      <c r="C347" s="3">
        <v>0.61736111111111114</v>
      </c>
      <c r="D347" s="2">
        <f>tb_dados[[#This Row],[Data]]+tb_dados[[#This Row],[Hora]]</f>
        <v>46078.617361111108</v>
      </c>
      <c r="E347" t="s">
        <v>12</v>
      </c>
      <c r="F347" t="s">
        <v>13</v>
      </c>
      <c r="G347" t="s">
        <v>20</v>
      </c>
      <c r="H347" s="4">
        <v>420</v>
      </c>
      <c r="I347" s="5">
        <v>3</v>
      </c>
      <c r="K347" t="s">
        <v>26</v>
      </c>
    </row>
    <row r="348" spans="1:11" x14ac:dyDescent="0.3">
      <c r="A348">
        <v>1346</v>
      </c>
      <c r="B348" s="1">
        <v>46089</v>
      </c>
      <c r="C348" s="3">
        <v>0.61527777777777781</v>
      </c>
      <c r="D348" s="2">
        <f>tb_dados[[#This Row],[Data]]+tb_dados[[#This Row],[Hora]]</f>
        <v>46089.615277777775</v>
      </c>
      <c r="E348" t="s">
        <v>10</v>
      </c>
      <c r="F348" t="s">
        <v>15</v>
      </c>
      <c r="G348" t="s">
        <v>22</v>
      </c>
      <c r="H348" s="4">
        <v>2100</v>
      </c>
      <c r="I348" s="5">
        <v>1</v>
      </c>
      <c r="K348" t="s">
        <v>26</v>
      </c>
    </row>
    <row r="349" spans="1:11" x14ac:dyDescent="0.3">
      <c r="A349">
        <v>1347</v>
      </c>
      <c r="B349" s="1">
        <v>46083</v>
      </c>
      <c r="C349" s="3">
        <v>0.56874999999999998</v>
      </c>
      <c r="D349" s="2">
        <f>tb_dados[[#This Row],[Data]]+tb_dados[[#This Row],[Hora]]</f>
        <v>46083.568749999999</v>
      </c>
      <c r="E349" t="s">
        <v>10</v>
      </c>
      <c r="F349" t="s">
        <v>14</v>
      </c>
      <c r="G349" t="s">
        <v>22</v>
      </c>
      <c r="H349" s="4">
        <v>2100</v>
      </c>
      <c r="I349" s="5">
        <v>2</v>
      </c>
      <c r="K349" t="s">
        <v>25</v>
      </c>
    </row>
    <row r="350" spans="1:11" x14ac:dyDescent="0.3">
      <c r="A350">
        <v>1348</v>
      </c>
      <c r="B350" s="1">
        <v>46078</v>
      </c>
      <c r="C350" s="3">
        <v>0.51111111111111118</v>
      </c>
      <c r="D350" s="2">
        <f>tb_dados[[#This Row],[Data]]+tb_dados[[#This Row],[Hora]]</f>
        <v>46078.511111111111</v>
      </c>
      <c r="E350" t="s">
        <v>11</v>
      </c>
      <c r="F350" t="s">
        <v>15</v>
      </c>
      <c r="G350" t="s">
        <v>18</v>
      </c>
      <c r="H350" s="4">
        <v>120</v>
      </c>
      <c r="I350" s="5">
        <v>1</v>
      </c>
      <c r="K350" t="s">
        <v>27</v>
      </c>
    </row>
    <row r="351" spans="1:11" x14ac:dyDescent="0.3">
      <c r="A351">
        <v>1349</v>
      </c>
      <c r="B351" s="1">
        <v>46086</v>
      </c>
      <c r="C351" s="3">
        <v>0.6791666666666667</v>
      </c>
      <c r="D351" s="2">
        <f>tb_dados[[#This Row],[Data]]+tb_dados[[#This Row],[Hora]]</f>
        <v>46086.679166666669</v>
      </c>
      <c r="E351" t="s">
        <v>12</v>
      </c>
      <c r="F351" t="s">
        <v>13</v>
      </c>
      <c r="G351" t="s">
        <v>20</v>
      </c>
      <c r="H351" s="4">
        <v>420</v>
      </c>
      <c r="I351" s="5">
        <v>1</v>
      </c>
      <c r="K351" t="s">
        <v>28</v>
      </c>
    </row>
    <row r="352" spans="1:11" x14ac:dyDescent="0.3">
      <c r="A352">
        <v>1350</v>
      </c>
      <c r="B352" s="1">
        <v>46078</v>
      </c>
      <c r="C352" s="3">
        <v>0.74097222222222225</v>
      </c>
      <c r="D352" s="2">
        <f>tb_dados[[#This Row],[Data]]+tb_dados[[#This Row],[Hora]]</f>
        <v>46078.740972222222</v>
      </c>
      <c r="E352" t="s">
        <v>11</v>
      </c>
      <c r="F352" t="s">
        <v>16</v>
      </c>
      <c r="G352" t="s">
        <v>21</v>
      </c>
      <c r="H352" s="4">
        <v>350</v>
      </c>
      <c r="I352" s="5">
        <v>2</v>
      </c>
      <c r="K352" t="s">
        <v>28</v>
      </c>
    </row>
    <row r="353" spans="1:11" x14ac:dyDescent="0.3">
      <c r="A353">
        <v>1351</v>
      </c>
      <c r="B353" s="1">
        <v>46103</v>
      </c>
      <c r="C353" s="3">
        <v>0.3527777777777778</v>
      </c>
      <c r="D353" s="2">
        <f>tb_dados[[#This Row],[Data]]+tb_dados[[#This Row],[Hora]]</f>
        <v>46103.352777777778</v>
      </c>
      <c r="E353" t="s">
        <v>11</v>
      </c>
      <c r="F353" t="s">
        <v>15</v>
      </c>
      <c r="G353" t="s">
        <v>24</v>
      </c>
      <c r="H353" s="4">
        <v>280</v>
      </c>
      <c r="I353" s="5">
        <v>3</v>
      </c>
      <c r="K353" t="s">
        <v>28</v>
      </c>
    </row>
    <row r="354" spans="1:11" x14ac:dyDescent="0.3">
      <c r="A354">
        <v>1352</v>
      </c>
      <c r="B354" s="1">
        <v>46079</v>
      </c>
      <c r="C354" s="3">
        <v>0.71666666666666667</v>
      </c>
      <c r="D354" s="2">
        <f>tb_dados[[#This Row],[Data]]+tb_dados[[#This Row],[Hora]]</f>
        <v>46079.716666666667</v>
      </c>
      <c r="E354" t="s">
        <v>12</v>
      </c>
      <c r="F354" t="s">
        <v>13</v>
      </c>
      <c r="G354" t="s">
        <v>19</v>
      </c>
      <c r="H354" s="4">
        <v>850</v>
      </c>
      <c r="I354" s="5">
        <v>3</v>
      </c>
      <c r="K354" t="s">
        <v>27</v>
      </c>
    </row>
    <row r="355" spans="1:11" x14ac:dyDescent="0.3">
      <c r="A355">
        <v>1353</v>
      </c>
      <c r="B355" s="1">
        <v>46101</v>
      </c>
      <c r="C355" s="3">
        <v>0.6</v>
      </c>
      <c r="D355" s="2">
        <f>tb_dados[[#This Row],[Data]]+tb_dados[[#This Row],[Hora]]</f>
        <v>46101.599999999999</v>
      </c>
      <c r="E355" t="s">
        <v>10</v>
      </c>
      <c r="F355" t="s">
        <v>14</v>
      </c>
      <c r="G355" t="s">
        <v>17</v>
      </c>
      <c r="H355" s="4">
        <v>900</v>
      </c>
      <c r="I355" s="5">
        <v>2</v>
      </c>
      <c r="K355" t="s">
        <v>26</v>
      </c>
    </row>
    <row r="356" spans="1:11" x14ac:dyDescent="0.3">
      <c r="A356">
        <v>1354</v>
      </c>
      <c r="B356" s="1">
        <v>46104</v>
      </c>
      <c r="C356" s="3">
        <v>0.84236111111111101</v>
      </c>
      <c r="D356" s="2">
        <f>tb_dados[[#This Row],[Data]]+tb_dados[[#This Row],[Hora]]</f>
        <v>46104.842361111114</v>
      </c>
      <c r="E356" t="s">
        <v>11</v>
      </c>
      <c r="F356" t="s">
        <v>14</v>
      </c>
      <c r="G356" t="s">
        <v>18</v>
      </c>
      <c r="H356" s="4">
        <v>120</v>
      </c>
      <c r="I356" s="5">
        <v>3</v>
      </c>
      <c r="K356" t="s">
        <v>26</v>
      </c>
    </row>
    <row r="357" spans="1:11" x14ac:dyDescent="0.3">
      <c r="A357">
        <v>1355</v>
      </c>
      <c r="B357" s="1">
        <v>46099</v>
      </c>
      <c r="C357" s="3">
        <v>0.66319444444444442</v>
      </c>
      <c r="D357" s="2">
        <f>tb_dados[[#This Row],[Data]]+tb_dados[[#This Row],[Hora]]</f>
        <v>46099.663194444445</v>
      </c>
      <c r="E357" t="s">
        <v>11</v>
      </c>
      <c r="F357" t="s">
        <v>16</v>
      </c>
      <c r="G357" t="s">
        <v>18</v>
      </c>
      <c r="H357" s="4">
        <v>120</v>
      </c>
      <c r="I357" s="5">
        <v>1</v>
      </c>
      <c r="K357" t="s">
        <v>28</v>
      </c>
    </row>
    <row r="358" spans="1:11" x14ac:dyDescent="0.3">
      <c r="A358">
        <v>1356</v>
      </c>
      <c r="B358" s="1">
        <v>46108</v>
      </c>
      <c r="C358" s="3">
        <v>0.51666666666666672</v>
      </c>
      <c r="D358" s="2">
        <f>tb_dados[[#This Row],[Data]]+tb_dados[[#This Row],[Hora]]</f>
        <v>46108.51666666667</v>
      </c>
      <c r="E358" t="s">
        <v>12</v>
      </c>
      <c r="F358" t="s">
        <v>13</v>
      </c>
      <c r="G358" t="s">
        <v>19</v>
      </c>
      <c r="H358" s="4">
        <v>850</v>
      </c>
      <c r="I358" s="5">
        <v>1</v>
      </c>
      <c r="K358" t="s">
        <v>25</v>
      </c>
    </row>
    <row r="359" spans="1:11" x14ac:dyDescent="0.3">
      <c r="A359">
        <v>1357</v>
      </c>
      <c r="B359" s="1">
        <v>46103</v>
      </c>
      <c r="C359" s="3">
        <v>0.47500000000000003</v>
      </c>
      <c r="D359" s="2">
        <f>tb_dados[[#This Row],[Data]]+tb_dados[[#This Row],[Hora]]</f>
        <v>46103.474999999999</v>
      </c>
      <c r="E359" t="s">
        <v>11</v>
      </c>
      <c r="F359" t="s">
        <v>13</v>
      </c>
      <c r="G359" t="s">
        <v>21</v>
      </c>
      <c r="H359" s="4">
        <v>350</v>
      </c>
      <c r="I359" s="5">
        <v>1</v>
      </c>
      <c r="K359" t="s">
        <v>25</v>
      </c>
    </row>
    <row r="360" spans="1:11" x14ac:dyDescent="0.3">
      <c r="A360">
        <v>1358</v>
      </c>
      <c r="B360" s="1">
        <v>46079</v>
      </c>
      <c r="C360" s="3">
        <v>0.59236111111111112</v>
      </c>
      <c r="D360" s="2">
        <f>tb_dados[[#This Row],[Data]]+tb_dados[[#This Row],[Hora]]</f>
        <v>46079.592361111114</v>
      </c>
      <c r="E360" t="s">
        <v>12</v>
      </c>
      <c r="F360" t="s">
        <v>13</v>
      </c>
      <c r="G360" t="s">
        <v>20</v>
      </c>
      <c r="H360" s="4">
        <v>420</v>
      </c>
      <c r="I360" s="5">
        <v>3</v>
      </c>
      <c r="K360" t="s">
        <v>27</v>
      </c>
    </row>
    <row r="361" spans="1:11" x14ac:dyDescent="0.3">
      <c r="A361">
        <v>1359</v>
      </c>
      <c r="B361" s="1">
        <v>46096</v>
      </c>
      <c r="C361" s="3">
        <v>0.76250000000000007</v>
      </c>
      <c r="D361" s="2">
        <f>tb_dados[[#This Row],[Data]]+tb_dados[[#This Row],[Hora]]</f>
        <v>46096.762499999997</v>
      </c>
      <c r="E361" t="s">
        <v>12</v>
      </c>
      <c r="F361" t="s">
        <v>14</v>
      </c>
      <c r="G361" t="s">
        <v>20</v>
      </c>
      <c r="H361" s="4">
        <v>420</v>
      </c>
      <c r="I361" s="5">
        <v>3</v>
      </c>
      <c r="K361" t="s">
        <v>25</v>
      </c>
    </row>
    <row r="362" spans="1:11" x14ac:dyDescent="0.3">
      <c r="A362">
        <v>1360</v>
      </c>
      <c r="B362" s="1">
        <v>46083</v>
      </c>
      <c r="C362" s="3">
        <v>0.83472222222222225</v>
      </c>
      <c r="D362" s="2">
        <f>tb_dados[[#This Row],[Data]]+tb_dados[[#This Row],[Hora]]</f>
        <v>46083.834722222222</v>
      </c>
      <c r="E362" t="s">
        <v>10</v>
      </c>
      <c r="F362" t="s">
        <v>14</v>
      </c>
      <c r="G362" t="s">
        <v>17</v>
      </c>
      <c r="H362" s="4">
        <v>900</v>
      </c>
      <c r="I362" s="5">
        <v>2</v>
      </c>
      <c r="K362" t="s">
        <v>28</v>
      </c>
    </row>
    <row r="363" spans="1:11" x14ac:dyDescent="0.3">
      <c r="A363">
        <v>1361</v>
      </c>
      <c r="B363" s="1">
        <v>46100</v>
      </c>
      <c r="C363" s="3">
        <v>0.40347222222222223</v>
      </c>
      <c r="D363" s="2">
        <f>tb_dados[[#This Row],[Data]]+tb_dados[[#This Row],[Hora]]</f>
        <v>46100.40347222222</v>
      </c>
      <c r="E363" t="s">
        <v>11</v>
      </c>
      <c r="F363" t="s">
        <v>14</v>
      </c>
      <c r="G363" t="s">
        <v>18</v>
      </c>
      <c r="H363" s="4">
        <v>120</v>
      </c>
      <c r="I363" s="5">
        <v>1</v>
      </c>
      <c r="K363" t="s">
        <v>25</v>
      </c>
    </row>
    <row r="364" spans="1:11" x14ac:dyDescent="0.3">
      <c r="A364">
        <v>1362</v>
      </c>
      <c r="B364" s="1">
        <v>46081</v>
      </c>
      <c r="C364" s="3">
        <v>0.84027777777777779</v>
      </c>
      <c r="D364" s="2">
        <f>tb_dados[[#This Row],[Data]]+tb_dados[[#This Row],[Hora]]</f>
        <v>46081.840277777781</v>
      </c>
      <c r="E364" t="s">
        <v>11</v>
      </c>
      <c r="F364" t="s">
        <v>13</v>
      </c>
      <c r="G364" t="s">
        <v>24</v>
      </c>
      <c r="H364" s="4">
        <v>280</v>
      </c>
      <c r="I364" s="5">
        <v>1</v>
      </c>
      <c r="K364" t="s">
        <v>28</v>
      </c>
    </row>
    <row r="365" spans="1:11" x14ac:dyDescent="0.3">
      <c r="A365">
        <v>1363</v>
      </c>
      <c r="B365" s="1">
        <v>46084</v>
      </c>
      <c r="C365" s="3">
        <v>0.70277777777777783</v>
      </c>
      <c r="D365" s="2">
        <f>tb_dados[[#This Row],[Data]]+tb_dados[[#This Row],[Hora]]</f>
        <v>46084.702777777777</v>
      </c>
      <c r="E365" t="s">
        <v>11</v>
      </c>
      <c r="F365" t="s">
        <v>14</v>
      </c>
      <c r="G365" t="s">
        <v>21</v>
      </c>
      <c r="H365" s="4">
        <v>350</v>
      </c>
      <c r="I365" s="5">
        <v>3</v>
      </c>
      <c r="K365" t="s">
        <v>28</v>
      </c>
    </row>
    <row r="366" spans="1:11" x14ac:dyDescent="0.3">
      <c r="A366">
        <v>1364</v>
      </c>
      <c r="B366" s="1">
        <v>46091</v>
      </c>
      <c r="C366" s="3">
        <v>0.5180555555555556</v>
      </c>
      <c r="D366" s="2">
        <f>tb_dados[[#This Row],[Data]]+tb_dados[[#This Row],[Hora]]</f>
        <v>46091.518055555556</v>
      </c>
      <c r="E366" t="s">
        <v>12</v>
      </c>
      <c r="F366" t="s">
        <v>13</v>
      </c>
      <c r="G366" t="s">
        <v>19</v>
      </c>
      <c r="H366" s="4">
        <v>850</v>
      </c>
      <c r="I366" s="5">
        <v>1</v>
      </c>
      <c r="K366" t="s">
        <v>27</v>
      </c>
    </row>
    <row r="367" spans="1:11" x14ac:dyDescent="0.3">
      <c r="A367">
        <v>1365</v>
      </c>
      <c r="B367" s="1">
        <v>46103</v>
      </c>
      <c r="C367" s="3">
        <v>0.48472222222222222</v>
      </c>
      <c r="D367" s="2">
        <f>tb_dados[[#This Row],[Data]]+tb_dados[[#This Row],[Hora]]</f>
        <v>46103.484722222223</v>
      </c>
      <c r="E367" t="s">
        <v>11</v>
      </c>
      <c r="F367" t="s">
        <v>15</v>
      </c>
      <c r="G367" t="s">
        <v>24</v>
      </c>
      <c r="H367" s="4">
        <v>280</v>
      </c>
      <c r="I367" s="5">
        <v>2</v>
      </c>
      <c r="K367" t="s">
        <v>28</v>
      </c>
    </row>
    <row r="368" spans="1:11" x14ac:dyDescent="0.3">
      <c r="A368">
        <v>1366</v>
      </c>
      <c r="B368" s="1">
        <v>46085</v>
      </c>
      <c r="C368" s="3">
        <v>0.83611111111111114</v>
      </c>
      <c r="D368" s="2">
        <f>tb_dados[[#This Row],[Data]]+tb_dados[[#This Row],[Hora]]</f>
        <v>46085.836111111108</v>
      </c>
      <c r="E368" t="s">
        <v>12</v>
      </c>
      <c r="F368" t="s">
        <v>14</v>
      </c>
      <c r="G368" t="s">
        <v>19</v>
      </c>
      <c r="H368" s="4">
        <v>850</v>
      </c>
      <c r="I368" s="5">
        <v>1</v>
      </c>
      <c r="K368" t="s">
        <v>27</v>
      </c>
    </row>
    <row r="369" spans="1:11" x14ac:dyDescent="0.3">
      <c r="A369">
        <v>1367</v>
      </c>
      <c r="B369" s="1">
        <v>46090</v>
      </c>
      <c r="C369" s="3">
        <v>0.91805555555555562</v>
      </c>
      <c r="D369" s="2">
        <f>tb_dados[[#This Row],[Data]]+tb_dados[[#This Row],[Hora]]</f>
        <v>46090.918055555558</v>
      </c>
      <c r="E369" t="s">
        <v>10</v>
      </c>
      <c r="F369" t="s">
        <v>15</v>
      </c>
      <c r="G369" t="s">
        <v>23</v>
      </c>
      <c r="H369" s="4">
        <v>4500</v>
      </c>
      <c r="I369" s="5">
        <v>3</v>
      </c>
      <c r="K369" t="s">
        <v>28</v>
      </c>
    </row>
    <row r="370" spans="1:11" x14ac:dyDescent="0.3">
      <c r="A370">
        <v>1368</v>
      </c>
      <c r="B370" s="1">
        <v>46085</v>
      </c>
      <c r="C370" s="3">
        <v>0.70833333333333337</v>
      </c>
      <c r="D370" s="2">
        <f>tb_dados[[#This Row],[Data]]+tb_dados[[#This Row],[Hora]]</f>
        <v>46085.708333333336</v>
      </c>
      <c r="E370" t="s">
        <v>11</v>
      </c>
      <c r="F370" t="s">
        <v>16</v>
      </c>
      <c r="G370" t="s">
        <v>24</v>
      </c>
      <c r="H370" s="4">
        <v>280</v>
      </c>
      <c r="I370" s="5">
        <v>2</v>
      </c>
      <c r="K370" t="s">
        <v>25</v>
      </c>
    </row>
    <row r="371" spans="1:11" x14ac:dyDescent="0.3">
      <c r="A371">
        <v>1369</v>
      </c>
      <c r="B371" s="1">
        <v>46095</v>
      </c>
      <c r="C371" s="3">
        <v>0.45277777777777778</v>
      </c>
      <c r="D371" s="2">
        <f>tb_dados[[#This Row],[Data]]+tb_dados[[#This Row],[Hora]]</f>
        <v>46095.452777777777</v>
      </c>
      <c r="E371" t="s">
        <v>11</v>
      </c>
      <c r="F371" t="s">
        <v>13</v>
      </c>
      <c r="G371" t="s">
        <v>24</v>
      </c>
      <c r="H371" s="4">
        <v>280</v>
      </c>
      <c r="I371" s="5">
        <v>1</v>
      </c>
      <c r="K371" t="s">
        <v>26</v>
      </c>
    </row>
    <row r="372" spans="1:11" x14ac:dyDescent="0.3">
      <c r="A372">
        <v>1370</v>
      </c>
      <c r="B372" s="1">
        <v>46082</v>
      </c>
      <c r="C372" s="3">
        <v>0.86458333333333337</v>
      </c>
      <c r="D372" s="2">
        <f>tb_dados[[#This Row],[Data]]+tb_dados[[#This Row],[Hora]]</f>
        <v>46082.864583333336</v>
      </c>
      <c r="E372" t="s">
        <v>12</v>
      </c>
      <c r="F372" t="s">
        <v>15</v>
      </c>
      <c r="G372" t="s">
        <v>20</v>
      </c>
      <c r="H372" s="4">
        <v>420</v>
      </c>
      <c r="I372" s="5">
        <v>3</v>
      </c>
      <c r="K372" t="s">
        <v>26</v>
      </c>
    </row>
    <row r="373" spans="1:11" x14ac:dyDescent="0.3">
      <c r="A373">
        <v>1371</v>
      </c>
      <c r="B373" s="1">
        <v>46107</v>
      </c>
      <c r="C373" s="3">
        <v>0.9472222222222223</v>
      </c>
      <c r="D373" s="2">
        <f>tb_dados[[#This Row],[Data]]+tb_dados[[#This Row],[Hora]]</f>
        <v>46107.947222222225</v>
      </c>
      <c r="E373" t="s">
        <v>10</v>
      </c>
      <c r="F373" t="s">
        <v>15</v>
      </c>
      <c r="G373" t="s">
        <v>22</v>
      </c>
      <c r="H373" s="4">
        <v>2100</v>
      </c>
      <c r="I373" s="5">
        <v>1</v>
      </c>
      <c r="K373" t="s">
        <v>25</v>
      </c>
    </row>
    <row r="374" spans="1:11" x14ac:dyDescent="0.3">
      <c r="A374">
        <v>1372</v>
      </c>
      <c r="B374" s="1">
        <v>46090</v>
      </c>
      <c r="C374" s="3">
        <v>0.81527777777777777</v>
      </c>
      <c r="D374" s="2">
        <f>tb_dados[[#This Row],[Data]]+tb_dados[[#This Row],[Hora]]</f>
        <v>46090.81527777778</v>
      </c>
      <c r="E374" t="s">
        <v>12</v>
      </c>
      <c r="F374" t="s">
        <v>15</v>
      </c>
      <c r="G374" t="s">
        <v>19</v>
      </c>
      <c r="H374" s="4">
        <v>850</v>
      </c>
      <c r="I374" s="5">
        <v>1</v>
      </c>
      <c r="K374" t="s">
        <v>25</v>
      </c>
    </row>
    <row r="375" spans="1:11" x14ac:dyDescent="0.3">
      <c r="A375">
        <v>1373</v>
      </c>
      <c r="B375" s="1">
        <v>46101</v>
      </c>
      <c r="C375" s="3">
        <v>0.85625000000000007</v>
      </c>
      <c r="D375" s="2">
        <f>tb_dados[[#This Row],[Data]]+tb_dados[[#This Row],[Hora]]</f>
        <v>46101.856249999997</v>
      </c>
      <c r="E375" t="s">
        <v>10</v>
      </c>
      <c r="F375" t="s">
        <v>15</v>
      </c>
      <c r="G375" t="s">
        <v>17</v>
      </c>
      <c r="H375" s="4">
        <v>900</v>
      </c>
      <c r="I375" s="5">
        <v>2</v>
      </c>
      <c r="K375" t="s">
        <v>28</v>
      </c>
    </row>
    <row r="376" spans="1:11" x14ac:dyDescent="0.3">
      <c r="A376">
        <v>1374</v>
      </c>
      <c r="B376" s="1">
        <v>46094</v>
      </c>
      <c r="C376" s="3">
        <v>0.58819444444444446</v>
      </c>
      <c r="D376" s="2">
        <f>tb_dados[[#This Row],[Data]]+tb_dados[[#This Row],[Hora]]</f>
        <v>46094.588194444441</v>
      </c>
      <c r="E376" t="s">
        <v>11</v>
      </c>
      <c r="F376" t="s">
        <v>16</v>
      </c>
      <c r="G376" t="s">
        <v>24</v>
      </c>
      <c r="H376" s="4">
        <v>280</v>
      </c>
      <c r="I376" s="5">
        <v>2</v>
      </c>
      <c r="K376" t="s">
        <v>25</v>
      </c>
    </row>
    <row r="377" spans="1:11" x14ac:dyDescent="0.3">
      <c r="A377">
        <v>1375</v>
      </c>
      <c r="B377" s="1">
        <v>46089</v>
      </c>
      <c r="C377" s="3">
        <v>0.63194444444444442</v>
      </c>
      <c r="D377" s="2">
        <f>tb_dados[[#This Row],[Data]]+tb_dados[[#This Row],[Hora]]</f>
        <v>46089.631944444445</v>
      </c>
      <c r="E377" t="s">
        <v>11</v>
      </c>
      <c r="F377" t="s">
        <v>15</v>
      </c>
      <c r="G377" t="s">
        <v>24</v>
      </c>
      <c r="H377" s="4">
        <v>280</v>
      </c>
      <c r="I377" s="5">
        <v>2</v>
      </c>
      <c r="K377" t="s">
        <v>28</v>
      </c>
    </row>
    <row r="378" spans="1:11" x14ac:dyDescent="0.3">
      <c r="A378">
        <v>1376</v>
      </c>
      <c r="B378" s="1">
        <v>46080</v>
      </c>
      <c r="C378" s="3">
        <v>0.8041666666666667</v>
      </c>
      <c r="D378" s="2">
        <f>tb_dados[[#This Row],[Data]]+tb_dados[[#This Row],[Hora]]</f>
        <v>46080.804166666669</v>
      </c>
      <c r="E378" t="s">
        <v>11</v>
      </c>
      <c r="F378" t="s">
        <v>14</v>
      </c>
      <c r="G378" t="s">
        <v>18</v>
      </c>
      <c r="H378" s="4">
        <v>120</v>
      </c>
      <c r="I378" s="5">
        <v>2</v>
      </c>
      <c r="K378" t="s">
        <v>26</v>
      </c>
    </row>
    <row r="379" spans="1:11" x14ac:dyDescent="0.3">
      <c r="A379">
        <v>1377</v>
      </c>
      <c r="B379" s="1">
        <v>46087</v>
      </c>
      <c r="C379" s="3">
        <v>0.84791666666666676</v>
      </c>
      <c r="D379" s="2">
        <f>tb_dados[[#This Row],[Data]]+tb_dados[[#This Row],[Hora]]</f>
        <v>46087.847916666666</v>
      </c>
      <c r="E379" t="s">
        <v>10</v>
      </c>
      <c r="F379" t="s">
        <v>16</v>
      </c>
      <c r="G379" t="s">
        <v>17</v>
      </c>
      <c r="H379" s="4">
        <v>900</v>
      </c>
      <c r="I379" s="5">
        <v>2</v>
      </c>
      <c r="K379" t="s">
        <v>27</v>
      </c>
    </row>
    <row r="380" spans="1:11" x14ac:dyDescent="0.3">
      <c r="A380">
        <v>1378</v>
      </c>
      <c r="B380" s="1">
        <v>46106</v>
      </c>
      <c r="C380" s="3">
        <v>0.63402777777777775</v>
      </c>
      <c r="D380" s="2">
        <f>tb_dados[[#This Row],[Data]]+tb_dados[[#This Row],[Hora]]</f>
        <v>46106.634027777778</v>
      </c>
      <c r="E380" t="s">
        <v>10</v>
      </c>
      <c r="F380" t="s">
        <v>15</v>
      </c>
      <c r="G380" t="s">
        <v>23</v>
      </c>
      <c r="H380" s="4">
        <v>4500</v>
      </c>
      <c r="I380" s="5">
        <v>2</v>
      </c>
      <c r="K380" t="s">
        <v>25</v>
      </c>
    </row>
    <row r="381" spans="1:11" x14ac:dyDescent="0.3">
      <c r="A381">
        <v>1379</v>
      </c>
      <c r="B381" s="1">
        <v>46097</v>
      </c>
      <c r="C381" s="3">
        <v>0.56388888888888888</v>
      </c>
      <c r="D381" s="2">
        <f>tb_dados[[#This Row],[Data]]+tb_dados[[#This Row],[Hora]]</f>
        <v>46097.563888888886</v>
      </c>
      <c r="E381" t="s">
        <v>12</v>
      </c>
      <c r="F381" t="s">
        <v>16</v>
      </c>
      <c r="G381" t="s">
        <v>19</v>
      </c>
      <c r="H381" s="4">
        <v>850</v>
      </c>
      <c r="I381" s="5">
        <v>3</v>
      </c>
      <c r="K381" t="s">
        <v>28</v>
      </c>
    </row>
    <row r="382" spans="1:11" x14ac:dyDescent="0.3">
      <c r="A382">
        <v>1380</v>
      </c>
      <c r="B382" s="1">
        <v>46089</v>
      </c>
      <c r="C382" s="3">
        <v>0.65347222222222223</v>
      </c>
      <c r="D382" s="2">
        <f>tb_dados[[#This Row],[Data]]+tb_dados[[#This Row],[Hora]]</f>
        <v>46089.65347222222</v>
      </c>
      <c r="E382" t="s">
        <v>12</v>
      </c>
      <c r="F382" t="s">
        <v>16</v>
      </c>
      <c r="G382" t="s">
        <v>19</v>
      </c>
      <c r="H382" s="4">
        <v>850</v>
      </c>
      <c r="I382" s="5">
        <v>1</v>
      </c>
      <c r="K382" t="s">
        <v>26</v>
      </c>
    </row>
    <row r="383" spans="1:11" x14ac:dyDescent="0.3">
      <c r="A383">
        <v>1381</v>
      </c>
      <c r="B383" s="1">
        <v>46098</v>
      </c>
      <c r="C383" s="3">
        <v>0.76388888888888884</v>
      </c>
      <c r="D383" s="2">
        <f>tb_dados[[#This Row],[Data]]+tb_dados[[#This Row],[Hora]]</f>
        <v>46098.763888888891</v>
      </c>
      <c r="E383" t="s">
        <v>11</v>
      </c>
      <c r="F383" t="s">
        <v>15</v>
      </c>
      <c r="G383" t="s">
        <v>21</v>
      </c>
      <c r="H383" s="4">
        <v>350</v>
      </c>
      <c r="I383" s="5">
        <v>3</v>
      </c>
      <c r="K383" t="s">
        <v>28</v>
      </c>
    </row>
    <row r="384" spans="1:11" x14ac:dyDescent="0.3">
      <c r="A384">
        <v>1382</v>
      </c>
      <c r="B384" s="1">
        <v>46104</v>
      </c>
      <c r="C384" s="3">
        <v>0.35069444444444442</v>
      </c>
      <c r="D384" s="2">
        <f>tb_dados[[#This Row],[Data]]+tb_dados[[#This Row],[Hora]]</f>
        <v>46104.350694444445</v>
      </c>
      <c r="E384" t="s">
        <v>10</v>
      </c>
      <c r="F384" t="s">
        <v>15</v>
      </c>
      <c r="G384" t="s">
        <v>23</v>
      </c>
      <c r="H384" s="4">
        <v>4500</v>
      </c>
      <c r="I384" s="5">
        <v>1</v>
      </c>
      <c r="K384" t="s">
        <v>27</v>
      </c>
    </row>
    <row r="385" spans="1:11" x14ac:dyDescent="0.3">
      <c r="A385">
        <v>1383</v>
      </c>
      <c r="B385" s="1">
        <v>46104</v>
      </c>
      <c r="C385" s="3">
        <v>0.79305555555555562</v>
      </c>
      <c r="D385" s="2">
        <f>tb_dados[[#This Row],[Data]]+tb_dados[[#This Row],[Hora]]</f>
        <v>46104.793055555558</v>
      </c>
      <c r="E385" t="s">
        <v>12</v>
      </c>
      <c r="F385" t="s">
        <v>14</v>
      </c>
      <c r="G385" t="s">
        <v>20</v>
      </c>
      <c r="H385" s="4">
        <v>420</v>
      </c>
      <c r="I385" s="5">
        <v>2</v>
      </c>
      <c r="K385" t="s">
        <v>28</v>
      </c>
    </row>
    <row r="386" spans="1:11" x14ac:dyDescent="0.3">
      <c r="A386">
        <v>1384</v>
      </c>
      <c r="B386" s="1">
        <v>46088</v>
      </c>
      <c r="C386" s="3">
        <v>0.64444444444444449</v>
      </c>
      <c r="D386" s="2">
        <f>tb_dados[[#This Row],[Data]]+tb_dados[[#This Row],[Hora]]</f>
        <v>46088.644444444442</v>
      </c>
      <c r="E386" t="s">
        <v>10</v>
      </c>
      <c r="F386" t="s">
        <v>14</v>
      </c>
      <c r="G386" t="s">
        <v>23</v>
      </c>
      <c r="H386" s="4">
        <v>4500</v>
      </c>
      <c r="I386" s="5">
        <v>3</v>
      </c>
      <c r="K386" t="s">
        <v>26</v>
      </c>
    </row>
    <row r="387" spans="1:11" x14ac:dyDescent="0.3">
      <c r="A387">
        <v>1385</v>
      </c>
      <c r="B387" s="1">
        <v>46091</v>
      </c>
      <c r="C387" s="3">
        <v>0.82500000000000007</v>
      </c>
      <c r="D387" s="2">
        <f>tb_dados[[#This Row],[Data]]+tb_dados[[#This Row],[Hora]]</f>
        <v>46091.824999999997</v>
      </c>
      <c r="E387" t="s">
        <v>11</v>
      </c>
      <c r="F387" t="s">
        <v>16</v>
      </c>
      <c r="G387" t="s">
        <v>24</v>
      </c>
      <c r="H387" s="4">
        <v>280</v>
      </c>
      <c r="I387" s="5">
        <v>2</v>
      </c>
      <c r="K387" t="s">
        <v>25</v>
      </c>
    </row>
    <row r="388" spans="1:11" x14ac:dyDescent="0.3">
      <c r="A388">
        <v>1386</v>
      </c>
      <c r="B388" s="1">
        <v>46101</v>
      </c>
      <c r="C388" s="3">
        <v>0.56388888888888888</v>
      </c>
      <c r="D388" s="2">
        <f>tb_dados[[#This Row],[Data]]+tb_dados[[#This Row],[Hora]]</f>
        <v>46101.563888888886</v>
      </c>
      <c r="E388" t="s">
        <v>11</v>
      </c>
      <c r="F388" t="s">
        <v>14</v>
      </c>
      <c r="G388" t="s">
        <v>21</v>
      </c>
      <c r="H388" s="4">
        <v>350</v>
      </c>
      <c r="I388" s="5">
        <v>1</v>
      </c>
      <c r="K388" t="s">
        <v>27</v>
      </c>
    </row>
    <row r="389" spans="1:11" x14ac:dyDescent="0.3">
      <c r="A389">
        <v>1387</v>
      </c>
      <c r="B389" s="1">
        <v>46101</v>
      </c>
      <c r="C389" s="3">
        <v>0.40486111111111112</v>
      </c>
      <c r="D389" s="2">
        <f>tb_dados[[#This Row],[Data]]+tb_dados[[#This Row],[Hora]]</f>
        <v>46101.404861111114</v>
      </c>
      <c r="E389" t="s">
        <v>12</v>
      </c>
      <c r="F389" t="s">
        <v>15</v>
      </c>
      <c r="G389" t="s">
        <v>20</v>
      </c>
      <c r="H389" s="4">
        <v>420</v>
      </c>
      <c r="I389" s="5">
        <v>3</v>
      </c>
      <c r="K389" t="s">
        <v>27</v>
      </c>
    </row>
    <row r="390" spans="1:11" x14ac:dyDescent="0.3">
      <c r="A390">
        <v>1388</v>
      </c>
      <c r="B390" s="1">
        <v>46082</v>
      </c>
      <c r="C390" s="3">
        <v>0.93263888888888891</v>
      </c>
      <c r="D390" s="2">
        <f>tb_dados[[#This Row],[Data]]+tb_dados[[#This Row],[Hora]]</f>
        <v>46082.932638888888</v>
      </c>
      <c r="E390" t="s">
        <v>10</v>
      </c>
      <c r="F390" t="s">
        <v>13</v>
      </c>
      <c r="G390" t="s">
        <v>17</v>
      </c>
      <c r="H390" s="4">
        <v>900</v>
      </c>
      <c r="I390" s="5">
        <v>1</v>
      </c>
      <c r="K390" t="s">
        <v>28</v>
      </c>
    </row>
    <row r="391" spans="1:11" x14ac:dyDescent="0.3">
      <c r="A391">
        <v>1389</v>
      </c>
      <c r="B391" s="1">
        <v>46099</v>
      </c>
      <c r="C391" s="3">
        <v>0.39097222222222222</v>
      </c>
      <c r="D391" s="2">
        <f>tb_dados[[#This Row],[Data]]+tb_dados[[#This Row],[Hora]]</f>
        <v>46099.390972222223</v>
      </c>
      <c r="E391" t="s">
        <v>12</v>
      </c>
      <c r="F391" t="s">
        <v>16</v>
      </c>
      <c r="G391" t="s">
        <v>19</v>
      </c>
      <c r="H391" s="4">
        <v>850</v>
      </c>
      <c r="I391" s="5">
        <v>3</v>
      </c>
      <c r="K391" t="s">
        <v>26</v>
      </c>
    </row>
    <row r="392" spans="1:11" x14ac:dyDescent="0.3">
      <c r="A392">
        <v>1390</v>
      </c>
      <c r="B392" s="1">
        <v>46079</v>
      </c>
      <c r="C392" s="3">
        <v>0.87361111111111101</v>
      </c>
      <c r="D392" s="2">
        <f>tb_dados[[#This Row],[Data]]+tb_dados[[#This Row],[Hora]]</f>
        <v>46079.873611111114</v>
      </c>
      <c r="E392" t="s">
        <v>12</v>
      </c>
      <c r="F392" t="s">
        <v>13</v>
      </c>
      <c r="G392" t="s">
        <v>19</v>
      </c>
      <c r="H392" s="4">
        <v>850</v>
      </c>
      <c r="I392" s="5">
        <v>2</v>
      </c>
      <c r="K392" t="s">
        <v>28</v>
      </c>
    </row>
    <row r="393" spans="1:11" x14ac:dyDescent="0.3">
      <c r="A393">
        <v>1391</v>
      </c>
      <c r="B393" s="1">
        <v>46091</v>
      </c>
      <c r="C393" s="3">
        <v>0.89722222222222225</v>
      </c>
      <c r="D393" s="2">
        <f>tb_dados[[#This Row],[Data]]+tb_dados[[#This Row],[Hora]]</f>
        <v>46091.897222222222</v>
      </c>
      <c r="E393" t="s">
        <v>10</v>
      </c>
      <c r="F393" t="s">
        <v>15</v>
      </c>
      <c r="G393" t="s">
        <v>17</v>
      </c>
      <c r="H393" s="4">
        <v>900</v>
      </c>
      <c r="I393" s="5">
        <v>3</v>
      </c>
      <c r="K393" t="s">
        <v>25</v>
      </c>
    </row>
    <row r="394" spans="1:11" x14ac:dyDescent="0.3">
      <c r="A394">
        <v>1392</v>
      </c>
      <c r="B394" s="1">
        <v>46096</v>
      </c>
      <c r="C394" s="3">
        <v>0.69374999999999998</v>
      </c>
      <c r="D394" s="2">
        <f>tb_dados[[#This Row],[Data]]+tb_dados[[#This Row],[Hora]]</f>
        <v>46096.693749999999</v>
      </c>
      <c r="E394" t="s">
        <v>10</v>
      </c>
      <c r="F394" t="s">
        <v>14</v>
      </c>
      <c r="G394" t="s">
        <v>17</v>
      </c>
      <c r="H394" s="4">
        <v>900</v>
      </c>
      <c r="I394" s="5">
        <v>2</v>
      </c>
      <c r="K394" t="s">
        <v>27</v>
      </c>
    </row>
    <row r="395" spans="1:11" x14ac:dyDescent="0.3">
      <c r="A395">
        <v>1393</v>
      </c>
      <c r="B395" s="1">
        <v>46083</v>
      </c>
      <c r="C395" s="3">
        <v>0.77083333333333337</v>
      </c>
      <c r="D395" s="2">
        <f>tb_dados[[#This Row],[Data]]+tb_dados[[#This Row],[Hora]]</f>
        <v>46083.770833333336</v>
      </c>
      <c r="E395" t="s">
        <v>11</v>
      </c>
      <c r="F395" t="s">
        <v>16</v>
      </c>
      <c r="G395" t="s">
        <v>21</v>
      </c>
      <c r="H395" s="4">
        <v>350</v>
      </c>
      <c r="I395" s="5">
        <v>3</v>
      </c>
      <c r="K395" t="s">
        <v>26</v>
      </c>
    </row>
    <row r="396" spans="1:11" x14ac:dyDescent="0.3">
      <c r="A396">
        <v>1394</v>
      </c>
      <c r="B396" s="1">
        <v>46098</v>
      </c>
      <c r="C396" s="3">
        <v>0.39861111111111108</v>
      </c>
      <c r="D396" s="2">
        <f>tb_dados[[#This Row],[Data]]+tb_dados[[#This Row],[Hora]]</f>
        <v>46098.398611111108</v>
      </c>
      <c r="E396" t="s">
        <v>10</v>
      </c>
      <c r="F396" t="s">
        <v>13</v>
      </c>
      <c r="G396" t="s">
        <v>17</v>
      </c>
      <c r="H396" s="4">
        <v>900</v>
      </c>
      <c r="I396" s="5">
        <v>3</v>
      </c>
      <c r="K396" t="s">
        <v>26</v>
      </c>
    </row>
    <row r="397" spans="1:11" x14ac:dyDescent="0.3">
      <c r="A397">
        <v>1395</v>
      </c>
      <c r="B397" s="1">
        <v>46104</v>
      </c>
      <c r="C397" s="3">
        <v>0.49583333333333335</v>
      </c>
      <c r="D397" s="2">
        <f>tb_dados[[#This Row],[Data]]+tb_dados[[#This Row],[Hora]]</f>
        <v>46104.495833333334</v>
      </c>
      <c r="E397" t="s">
        <v>11</v>
      </c>
      <c r="F397" t="s">
        <v>16</v>
      </c>
      <c r="G397" t="s">
        <v>24</v>
      </c>
      <c r="H397" s="4">
        <v>280</v>
      </c>
      <c r="I397" s="5">
        <v>1</v>
      </c>
      <c r="K397" t="s">
        <v>25</v>
      </c>
    </row>
    <row r="398" spans="1:11" x14ac:dyDescent="0.3">
      <c r="A398">
        <v>1396</v>
      </c>
      <c r="B398" s="1">
        <v>46085</v>
      </c>
      <c r="C398" s="3">
        <v>0.8340277777777777</v>
      </c>
      <c r="D398" s="2">
        <f>tb_dados[[#This Row],[Data]]+tb_dados[[#This Row],[Hora]]</f>
        <v>46085.834027777775</v>
      </c>
      <c r="E398" t="s">
        <v>11</v>
      </c>
      <c r="F398" t="s">
        <v>16</v>
      </c>
      <c r="G398" t="s">
        <v>24</v>
      </c>
      <c r="H398" s="4">
        <v>280</v>
      </c>
      <c r="I398" s="5">
        <v>2</v>
      </c>
      <c r="K398" t="s">
        <v>25</v>
      </c>
    </row>
    <row r="399" spans="1:11" x14ac:dyDescent="0.3">
      <c r="A399">
        <v>1397</v>
      </c>
      <c r="B399" s="1">
        <v>46081</v>
      </c>
      <c r="C399" s="3">
        <v>0.49305555555555558</v>
      </c>
      <c r="D399" s="2">
        <f>tb_dados[[#This Row],[Data]]+tb_dados[[#This Row],[Hora]]</f>
        <v>46081.493055555555</v>
      </c>
      <c r="E399" t="s">
        <v>11</v>
      </c>
      <c r="F399" t="s">
        <v>15</v>
      </c>
      <c r="G399" t="s">
        <v>18</v>
      </c>
      <c r="H399" s="4">
        <v>120</v>
      </c>
      <c r="I399" s="5">
        <v>1</v>
      </c>
      <c r="K399" t="s">
        <v>28</v>
      </c>
    </row>
    <row r="400" spans="1:11" x14ac:dyDescent="0.3">
      <c r="A400">
        <v>1398</v>
      </c>
      <c r="B400" s="1">
        <v>46085</v>
      </c>
      <c r="C400" s="3">
        <v>0.64861111111111114</v>
      </c>
      <c r="D400" s="2">
        <f>tb_dados[[#This Row],[Data]]+tb_dados[[#This Row],[Hora]]</f>
        <v>46085.648611111108</v>
      </c>
      <c r="E400" t="s">
        <v>12</v>
      </c>
      <c r="F400" t="s">
        <v>14</v>
      </c>
      <c r="G400" t="s">
        <v>20</v>
      </c>
      <c r="H400" s="4">
        <v>420</v>
      </c>
      <c r="I400" s="5">
        <v>1</v>
      </c>
      <c r="K400" t="s">
        <v>27</v>
      </c>
    </row>
    <row r="401" spans="1:11" x14ac:dyDescent="0.3">
      <c r="A401">
        <v>1399</v>
      </c>
      <c r="B401" s="1">
        <v>46101</v>
      </c>
      <c r="C401" s="3">
        <v>0.43402777777777773</v>
      </c>
      <c r="D401" s="2">
        <f>tb_dados[[#This Row],[Data]]+tb_dados[[#This Row],[Hora]]</f>
        <v>46101.434027777781</v>
      </c>
      <c r="E401" t="s">
        <v>10</v>
      </c>
      <c r="F401" t="s">
        <v>16</v>
      </c>
      <c r="G401" t="s">
        <v>22</v>
      </c>
      <c r="H401" s="4">
        <v>2100</v>
      </c>
      <c r="I401" s="5">
        <v>2</v>
      </c>
      <c r="K401" t="s">
        <v>25</v>
      </c>
    </row>
    <row r="402" spans="1:11" x14ac:dyDescent="0.3">
      <c r="A402">
        <v>1400</v>
      </c>
      <c r="B402" s="1">
        <v>46103</v>
      </c>
      <c r="C402" s="3">
        <v>0.44166666666666665</v>
      </c>
      <c r="D402" s="2">
        <f>tb_dados[[#This Row],[Data]]+tb_dados[[#This Row],[Hora]]</f>
        <v>46103.441666666666</v>
      </c>
      <c r="E402" t="s">
        <v>12</v>
      </c>
      <c r="F402" t="s">
        <v>15</v>
      </c>
      <c r="G402" t="s">
        <v>20</v>
      </c>
      <c r="H402" s="4">
        <v>420</v>
      </c>
      <c r="I402" s="5">
        <v>3</v>
      </c>
      <c r="K402" t="s">
        <v>25</v>
      </c>
    </row>
    <row r="403" spans="1:11" x14ac:dyDescent="0.3">
      <c r="A403">
        <v>1401</v>
      </c>
      <c r="B403" s="1">
        <v>46081</v>
      </c>
      <c r="C403" s="3">
        <v>0.90069444444444446</v>
      </c>
      <c r="D403" s="2">
        <f>tb_dados[[#This Row],[Data]]+tb_dados[[#This Row],[Hora]]</f>
        <v>46081.900694444441</v>
      </c>
      <c r="E403" t="s">
        <v>10</v>
      </c>
      <c r="F403" t="s">
        <v>13</v>
      </c>
      <c r="G403" t="s">
        <v>17</v>
      </c>
      <c r="H403" s="4">
        <v>900</v>
      </c>
      <c r="I403" s="5">
        <v>2</v>
      </c>
      <c r="K403" t="s">
        <v>27</v>
      </c>
    </row>
    <row r="404" spans="1:11" x14ac:dyDescent="0.3">
      <c r="A404">
        <v>1402</v>
      </c>
      <c r="B404" s="1">
        <v>46102</v>
      </c>
      <c r="C404" s="3">
        <v>0.72152777777777777</v>
      </c>
      <c r="D404" s="2">
        <f>tb_dados[[#This Row],[Data]]+tb_dados[[#This Row],[Hora]]</f>
        <v>46102.72152777778</v>
      </c>
      <c r="E404" t="s">
        <v>10</v>
      </c>
      <c r="F404" t="s">
        <v>13</v>
      </c>
      <c r="G404" t="s">
        <v>17</v>
      </c>
      <c r="H404" s="4">
        <v>900</v>
      </c>
      <c r="I404" s="5">
        <v>2</v>
      </c>
      <c r="K404" t="s">
        <v>28</v>
      </c>
    </row>
    <row r="405" spans="1:11" x14ac:dyDescent="0.3">
      <c r="A405">
        <v>1403</v>
      </c>
      <c r="B405" s="1">
        <v>46088</v>
      </c>
      <c r="C405" s="3">
        <v>0.76666666666666661</v>
      </c>
      <c r="D405" s="2">
        <f>tb_dados[[#This Row],[Data]]+tb_dados[[#This Row],[Hora]]</f>
        <v>46088.76666666667</v>
      </c>
      <c r="E405" t="s">
        <v>10</v>
      </c>
      <c r="F405" t="s">
        <v>16</v>
      </c>
      <c r="G405" t="s">
        <v>17</v>
      </c>
      <c r="H405" s="4">
        <v>900</v>
      </c>
      <c r="I405" s="5">
        <v>1</v>
      </c>
      <c r="K405" t="s">
        <v>27</v>
      </c>
    </row>
    <row r="406" spans="1:11" x14ac:dyDescent="0.3">
      <c r="A406">
        <v>1404</v>
      </c>
      <c r="B406" s="1">
        <v>46082</v>
      </c>
      <c r="C406" s="3">
        <v>0.85486111111111107</v>
      </c>
      <c r="D406" s="2">
        <f>tb_dados[[#This Row],[Data]]+tb_dados[[#This Row],[Hora]]</f>
        <v>46082.854861111111</v>
      </c>
      <c r="E406" t="s">
        <v>10</v>
      </c>
      <c r="F406" t="s">
        <v>13</v>
      </c>
      <c r="G406" t="s">
        <v>22</v>
      </c>
      <c r="H406" s="4">
        <v>2100</v>
      </c>
      <c r="I406" s="5">
        <v>2</v>
      </c>
      <c r="K406" t="s">
        <v>28</v>
      </c>
    </row>
    <row r="407" spans="1:11" x14ac:dyDescent="0.3">
      <c r="A407">
        <v>1405</v>
      </c>
      <c r="B407" s="1">
        <v>46105</v>
      </c>
      <c r="C407" s="3">
        <v>0.69097222222222221</v>
      </c>
      <c r="D407" s="2">
        <f>tb_dados[[#This Row],[Data]]+tb_dados[[#This Row],[Hora]]</f>
        <v>46105.690972222219</v>
      </c>
      <c r="E407" t="s">
        <v>11</v>
      </c>
      <c r="F407" t="s">
        <v>16</v>
      </c>
      <c r="G407" t="s">
        <v>24</v>
      </c>
      <c r="H407" s="4">
        <v>280</v>
      </c>
      <c r="I407" s="5">
        <v>1</v>
      </c>
      <c r="K407" t="s">
        <v>27</v>
      </c>
    </row>
    <row r="408" spans="1:11" x14ac:dyDescent="0.3">
      <c r="A408">
        <v>1406</v>
      </c>
      <c r="B408" s="1">
        <v>46085</v>
      </c>
      <c r="C408" s="3">
        <v>0.55347222222222225</v>
      </c>
      <c r="D408" s="2">
        <f>tb_dados[[#This Row],[Data]]+tb_dados[[#This Row],[Hora]]</f>
        <v>46085.553472222222</v>
      </c>
      <c r="E408" t="s">
        <v>12</v>
      </c>
      <c r="F408" t="s">
        <v>15</v>
      </c>
      <c r="G408" t="s">
        <v>19</v>
      </c>
      <c r="H408" s="4">
        <v>850</v>
      </c>
      <c r="I408" s="5">
        <v>3</v>
      </c>
      <c r="K408" t="s">
        <v>27</v>
      </c>
    </row>
    <row r="409" spans="1:11" x14ac:dyDescent="0.3">
      <c r="A409">
        <v>1407</v>
      </c>
      <c r="B409" s="1">
        <v>46078</v>
      </c>
      <c r="C409" s="3">
        <v>0.8520833333333333</v>
      </c>
      <c r="D409" s="2">
        <f>tb_dados[[#This Row],[Data]]+tb_dados[[#This Row],[Hora]]</f>
        <v>46078.852083333331</v>
      </c>
      <c r="E409" t="s">
        <v>12</v>
      </c>
      <c r="F409" t="s">
        <v>15</v>
      </c>
      <c r="G409" t="s">
        <v>20</v>
      </c>
      <c r="H409" s="4">
        <v>420</v>
      </c>
      <c r="I409" s="5">
        <v>1</v>
      </c>
      <c r="K409" t="s">
        <v>27</v>
      </c>
    </row>
    <row r="410" spans="1:11" x14ac:dyDescent="0.3">
      <c r="A410">
        <v>1408</v>
      </c>
      <c r="B410" s="1">
        <v>46103</v>
      </c>
      <c r="C410" s="3">
        <v>0.59791666666666665</v>
      </c>
      <c r="D410" s="2">
        <f>tb_dados[[#This Row],[Data]]+tb_dados[[#This Row],[Hora]]</f>
        <v>46103.597916666666</v>
      </c>
      <c r="E410" t="s">
        <v>12</v>
      </c>
      <c r="F410" t="s">
        <v>14</v>
      </c>
      <c r="G410" t="s">
        <v>20</v>
      </c>
      <c r="H410" s="4">
        <v>420</v>
      </c>
      <c r="I410" s="5">
        <v>2</v>
      </c>
      <c r="K410" t="s">
        <v>28</v>
      </c>
    </row>
    <row r="411" spans="1:11" x14ac:dyDescent="0.3">
      <c r="A411">
        <v>1409</v>
      </c>
      <c r="B411" s="1">
        <v>46096</v>
      </c>
      <c r="C411" s="3">
        <v>0.4069444444444445</v>
      </c>
      <c r="D411" s="2">
        <f>tb_dados[[#This Row],[Data]]+tb_dados[[#This Row],[Hora]]</f>
        <v>46096.406944444447</v>
      </c>
      <c r="E411" t="s">
        <v>11</v>
      </c>
      <c r="F411" t="s">
        <v>14</v>
      </c>
      <c r="G411" t="s">
        <v>18</v>
      </c>
      <c r="H411" s="4">
        <v>120</v>
      </c>
      <c r="I411" s="5">
        <v>2</v>
      </c>
      <c r="K411" t="s">
        <v>26</v>
      </c>
    </row>
    <row r="412" spans="1:11" x14ac:dyDescent="0.3">
      <c r="A412">
        <v>1410</v>
      </c>
      <c r="B412" s="1">
        <v>46102</v>
      </c>
      <c r="C412" s="3">
        <v>0.90208333333333324</v>
      </c>
      <c r="D412" s="2">
        <f>tb_dados[[#This Row],[Data]]+tb_dados[[#This Row],[Hora]]</f>
        <v>46102.902083333334</v>
      </c>
      <c r="E412" t="s">
        <v>12</v>
      </c>
      <c r="F412" t="s">
        <v>13</v>
      </c>
      <c r="G412" t="s">
        <v>19</v>
      </c>
      <c r="H412" s="4">
        <v>850</v>
      </c>
      <c r="I412" s="5">
        <v>3</v>
      </c>
      <c r="K412" t="s">
        <v>26</v>
      </c>
    </row>
    <row r="413" spans="1:11" x14ac:dyDescent="0.3">
      <c r="A413">
        <v>1411</v>
      </c>
      <c r="B413" s="1">
        <v>46108</v>
      </c>
      <c r="C413" s="3">
        <v>0.53888888888888886</v>
      </c>
      <c r="D413" s="2">
        <f>tb_dados[[#This Row],[Data]]+tb_dados[[#This Row],[Hora]]</f>
        <v>46108.538888888892</v>
      </c>
      <c r="E413" t="s">
        <v>11</v>
      </c>
      <c r="F413" t="s">
        <v>14</v>
      </c>
      <c r="G413" t="s">
        <v>18</v>
      </c>
      <c r="H413" s="4">
        <v>120</v>
      </c>
      <c r="I413" s="5">
        <v>2</v>
      </c>
      <c r="K413" t="s">
        <v>26</v>
      </c>
    </row>
    <row r="414" spans="1:11" x14ac:dyDescent="0.3">
      <c r="A414">
        <v>1412</v>
      </c>
      <c r="B414" s="1">
        <v>46103</v>
      </c>
      <c r="C414" s="3">
        <v>0.61388888888888882</v>
      </c>
      <c r="D414" s="2">
        <f>tb_dados[[#This Row],[Data]]+tb_dados[[#This Row],[Hora]]</f>
        <v>46103.613888888889</v>
      </c>
      <c r="E414" t="s">
        <v>10</v>
      </c>
      <c r="F414" t="s">
        <v>13</v>
      </c>
      <c r="G414" t="s">
        <v>17</v>
      </c>
      <c r="H414" s="4">
        <v>900</v>
      </c>
      <c r="I414" s="5">
        <v>1</v>
      </c>
      <c r="K414" t="s">
        <v>26</v>
      </c>
    </row>
    <row r="415" spans="1:11" x14ac:dyDescent="0.3">
      <c r="A415">
        <v>1413</v>
      </c>
      <c r="B415" s="1">
        <v>46087</v>
      </c>
      <c r="C415" s="3">
        <v>0.54166666666666663</v>
      </c>
      <c r="D415" s="2">
        <f>tb_dados[[#This Row],[Data]]+tb_dados[[#This Row],[Hora]]</f>
        <v>46087.541666666664</v>
      </c>
      <c r="E415" t="s">
        <v>12</v>
      </c>
      <c r="F415" t="s">
        <v>14</v>
      </c>
      <c r="G415" t="s">
        <v>20</v>
      </c>
      <c r="H415" s="4">
        <v>420</v>
      </c>
      <c r="I415" s="5">
        <v>3</v>
      </c>
      <c r="K415" t="s">
        <v>26</v>
      </c>
    </row>
    <row r="416" spans="1:11" x14ac:dyDescent="0.3">
      <c r="A416">
        <v>1414</v>
      </c>
      <c r="B416" s="1">
        <v>46104</v>
      </c>
      <c r="C416" s="3">
        <v>0.50694444444444442</v>
      </c>
      <c r="D416" s="2">
        <f>tb_dados[[#This Row],[Data]]+tb_dados[[#This Row],[Hora]]</f>
        <v>46104.506944444445</v>
      </c>
      <c r="E416" t="s">
        <v>11</v>
      </c>
      <c r="F416" t="s">
        <v>14</v>
      </c>
      <c r="G416" t="s">
        <v>24</v>
      </c>
      <c r="H416" s="4">
        <v>280</v>
      </c>
      <c r="I416" s="5">
        <v>2</v>
      </c>
      <c r="K416" t="s">
        <v>26</v>
      </c>
    </row>
    <row r="417" spans="1:11" x14ac:dyDescent="0.3">
      <c r="A417">
        <v>1415</v>
      </c>
      <c r="B417" s="1">
        <v>46084</v>
      </c>
      <c r="C417" s="3">
        <v>0.44027777777777777</v>
      </c>
      <c r="D417" s="2">
        <f>tb_dados[[#This Row],[Data]]+tb_dados[[#This Row],[Hora]]</f>
        <v>46084.44027777778</v>
      </c>
      <c r="E417" t="s">
        <v>10</v>
      </c>
      <c r="F417" t="s">
        <v>14</v>
      </c>
      <c r="G417" t="s">
        <v>22</v>
      </c>
      <c r="H417" s="4">
        <v>2100</v>
      </c>
      <c r="I417" s="5">
        <v>1</v>
      </c>
      <c r="K417" t="s">
        <v>25</v>
      </c>
    </row>
    <row r="418" spans="1:11" x14ac:dyDescent="0.3">
      <c r="A418">
        <v>1416</v>
      </c>
      <c r="B418" s="1">
        <v>46094</v>
      </c>
      <c r="C418" s="3">
        <v>0.42291666666666666</v>
      </c>
      <c r="D418" s="2">
        <f>tb_dados[[#This Row],[Data]]+tb_dados[[#This Row],[Hora]]</f>
        <v>46094.42291666667</v>
      </c>
      <c r="E418" t="s">
        <v>10</v>
      </c>
      <c r="F418" t="s">
        <v>16</v>
      </c>
      <c r="G418" t="s">
        <v>23</v>
      </c>
      <c r="H418" s="4">
        <v>4500</v>
      </c>
      <c r="I418" s="5">
        <v>2</v>
      </c>
      <c r="K418" t="s">
        <v>26</v>
      </c>
    </row>
    <row r="419" spans="1:11" x14ac:dyDescent="0.3">
      <c r="A419">
        <v>1417</v>
      </c>
      <c r="B419" s="1">
        <v>46092</v>
      </c>
      <c r="C419" s="3">
        <v>0.70277777777777783</v>
      </c>
      <c r="D419" s="2">
        <f>tb_dados[[#This Row],[Data]]+tb_dados[[#This Row],[Hora]]</f>
        <v>46092.702777777777</v>
      </c>
      <c r="E419" t="s">
        <v>11</v>
      </c>
      <c r="F419" t="s">
        <v>14</v>
      </c>
      <c r="G419" t="s">
        <v>24</v>
      </c>
      <c r="H419" s="4">
        <v>280</v>
      </c>
      <c r="I419" s="5">
        <v>1</v>
      </c>
      <c r="K419" t="s">
        <v>28</v>
      </c>
    </row>
    <row r="420" spans="1:11" x14ac:dyDescent="0.3">
      <c r="A420">
        <v>1418</v>
      </c>
      <c r="B420" s="1">
        <v>46095</v>
      </c>
      <c r="C420" s="3">
        <v>0.37708333333333338</v>
      </c>
      <c r="D420" s="2">
        <f>tb_dados[[#This Row],[Data]]+tb_dados[[#This Row],[Hora]]</f>
        <v>46095.377083333333</v>
      </c>
      <c r="E420" t="s">
        <v>11</v>
      </c>
      <c r="F420" t="s">
        <v>14</v>
      </c>
      <c r="G420" t="s">
        <v>21</v>
      </c>
      <c r="H420" s="4">
        <v>350</v>
      </c>
      <c r="I420" s="5">
        <v>1</v>
      </c>
      <c r="K420" t="s">
        <v>28</v>
      </c>
    </row>
    <row r="421" spans="1:11" x14ac:dyDescent="0.3">
      <c r="A421">
        <v>1419</v>
      </c>
      <c r="B421" s="1">
        <v>46096</v>
      </c>
      <c r="C421" s="3">
        <v>0.66249999999999998</v>
      </c>
      <c r="D421" s="2">
        <f>tb_dados[[#This Row],[Data]]+tb_dados[[#This Row],[Hora]]</f>
        <v>46096.662499999999</v>
      </c>
      <c r="E421" t="s">
        <v>12</v>
      </c>
      <c r="F421" t="s">
        <v>15</v>
      </c>
      <c r="G421" t="s">
        <v>20</v>
      </c>
      <c r="H421" s="4">
        <v>420</v>
      </c>
      <c r="I421" s="5">
        <v>1</v>
      </c>
      <c r="K421" t="s">
        <v>27</v>
      </c>
    </row>
    <row r="422" spans="1:11" x14ac:dyDescent="0.3">
      <c r="A422">
        <v>1420</v>
      </c>
      <c r="B422" s="1">
        <v>46096</v>
      </c>
      <c r="C422" s="3">
        <v>0.5854166666666667</v>
      </c>
      <c r="D422" s="2">
        <f>tb_dados[[#This Row],[Data]]+tb_dados[[#This Row],[Hora]]</f>
        <v>46096.585416666669</v>
      </c>
      <c r="E422" t="s">
        <v>10</v>
      </c>
      <c r="F422" t="s">
        <v>14</v>
      </c>
      <c r="G422" t="s">
        <v>23</v>
      </c>
      <c r="H422" s="4">
        <v>4500</v>
      </c>
      <c r="I422" s="5">
        <v>2</v>
      </c>
      <c r="K422" t="s">
        <v>28</v>
      </c>
    </row>
    <row r="423" spans="1:11" x14ac:dyDescent="0.3">
      <c r="A423">
        <v>1421</v>
      </c>
      <c r="B423" s="1">
        <v>46095</v>
      </c>
      <c r="C423" s="3">
        <v>0.73055555555555562</v>
      </c>
      <c r="D423" s="2">
        <f>tb_dados[[#This Row],[Data]]+tb_dados[[#This Row],[Hora]]</f>
        <v>46095.730555555558</v>
      </c>
      <c r="E423" t="s">
        <v>12</v>
      </c>
      <c r="F423" t="s">
        <v>16</v>
      </c>
      <c r="G423" t="s">
        <v>20</v>
      </c>
      <c r="H423" s="4">
        <v>420</v>
      </c>
      <c r="I423" s="5">
        <v>1</v>
      </c>
      <c r="K423" t="s">
        <v>28</v>
      </c>
    </row>
    <row r="424" spans="1:11" x14ac:dyDescent="0.3">
      <c r="A424">
        <v>1422</v>
      </c>
      <c r="B424" s="1">
        <v>46108</v>
      </c>
      <c r="C424" s="3">
        <v>0.82638888888888884</v>
      </c>
      <c r="D424" s="2">
        <f>tb_dados[[#This Row],[Data]]+tb_dados[[#This Row],[Hora]]</f>
        <v>46108.826388888891</v>
      </c>
      <c r="E424" t="s">
        <v>10</v>
      </c>
      <c r="F424" t="s">
        <v>16</v>
      </c>
      <c r="G424" t="s">
        <v>17</v>
      </c>
      <c r="H424" s="4">
        <v>900</v>
      </c>
      <c r="I424" s="5">
        <v>1</v>
      </c>
      <c r="K424" t="s">
        <v>25</v>
      </c>
    </row>
    <row r="425" spans="1:11" x14ac:dyDescent="0.3">
      <c r="A425">
        <v>1423</v>
      </c>
      <c r="B425" s="1">
        <v>46103</v>
      </c>
      <c r="C425" s="3">
        <v>0.85763888888888884</v>
      </c>
      <c r="D425" s="2">
        <f>tb_dados[[#This Row],[Data]]+tb_dados[[#This Row],[Hora]]</f>
        <v>46103.857638888891</v>
      </c>
      <c r="E425" t="s">
        <v>11</v>
      </c>
      <c r="F425" t="s">
        <v>14</v>
      </c>
      <c r="G425" t="s">
        <v>24</v>
      </c>
      <c r="H425" s="4">
        <v>280</v>
      </c>
      <c r="I425" s="5">
        <v>2</v>
      </c>
      <c r="K425" t="s">
        <v>27</v>
      </c>
    </row>
    <row r="426" spans="1:11" x14ac:dyDescent="0.3">
      <c r="A426">
        <v>1424</v>
      </c>
      <c r="B426" s="1">
        <v>46079</v>
      </c>
      <c r="C426" s="3">
        <v>0.34652777777777777</v>
      </c>
      <c r="D426" s="2">
        <f>tb_dados[[#This Row],[Data]]+tb_dados[[#This Row],[Hora]]</f>
        <v>46079.34652777778</v>
      </c>
      <c r="E426" t="s">
        <v>12</v>
      </c>
      <c r="F426" t="s">
        <v>15</v>
      </c>
      <c r="G426" t="s">
        <v>19</v>
      </c>
      <c r="H426" s="4">
        <v>850</v>
      </c>
      <c r="I426" s="5">
        <v>1</v>
      </c>
      <c r="K426" t="s">
        <v>27</v>
      </c>
    </row>
    <row r="427" spans="1:11" x14ac:dyDescent="0.3">
      <c r="A427">
        <v>1425</v>
      </c>
      <c r="B427" s="1">
        <v>46094</v>
      </c>
      <c r="C427" s="3">
        <v>0.79027777777777775</v>
      </c>
      <c r="D427" s="2">
        <f>tb_dados[[#This Row],[Data]]+tb_dados[[#This Row],[Hora]]</f>
        <v>46094.790277777778</v>
      </c>
      <c r="E427" t="s">
        <v>12</v>
      </c>
      <c r="F427" t="s">
        <v>16</v>
      </c>
      <c r="G427" t="s">
        <v>19</v>
      </c>
      <c r="H427" s="4">
        <v>850</v>
      </c>
      <c r="I427" s="5">
        <v>3</v>
      </c>
      <c r="K427" t="s">
        <v>28</v>
      </c>
    </row>
    <row r="428" spans="1:11" x14ac:dyDescent="0.3">
      <c r="A428">
        <v>1426</v>
      </c>
      <c r="B428" s="1">
        <v>46095</v>
      </c>
      <c r="C428" s="3">
        <v>0.8125</v>
      </c>
      <c r="D428" s="2">
        <f>tb_dados[[#This Row],[Data]]+tb_dados[[#This Row],[Hora]]</f>
        <v>46095.8125</v>
      </c>
      <c r="E428" t="s">
        <v>10</v>
      </c>
      <c r="F428" t="s">
        <v>13</v>
      </c>
      <c r="G428" t="s">
        <v>22</v>
      </c>
      <c r="H428" s="4">
        <v>2100</v>
      </c>
      <c r="I428" s="5">
        <v>2</v>
      </c>
      <c r="K428" t="s">
        <v>28</v>
      </c>
    </row>
    <row r="429" spans="1:11" x14ac:dyDescent="0.3">
      <c r="A429">
        <v>1427</v>
      </c>
      <c r="B429" s="1">
        <v>46104</v>
      </c>
      <c r="C429" s="3">
        <v>0.39930555555555558</v>
      </c>
      <c r="D429" s="2">
        <f>tb_dados[[#This Row],[Data]]+tb_dados[[#This Row],[Hora]]</f>
        <v>46104.399305555555</v>
      </c>
      <c r="E429" t="s">
        <v>10</v>
      </c>
      <c r="F429" t="s">
        <v>13</v>
      </c>
      <c r="G429" t="s">
        <v>22</v>
      </c>
      <c r="H429" s="4">
        <v>2100</v>
      </c>
      <c r="I429" s="5">
        <v>3</v>
      </c>
      <c r="K429" t="s">
        <v>26</v>
      </c>
    </row>
    <row r="430" spans="1:11" x14ac:dyDescent="0.3">
      <c r="A430">
        <v>1428</v>
      </c>
      <c r="B430" s="1">
        <v>46087</v>
      </c>
      <c r="C430" s="3">
        <v>0.73749999999999993</v>
      </c>
      <c r="D430" s="2">
        <f>tb_dados[[#This Row],[Data]]+tb_dados[[#This Row],[Hora]]</f>
        <v>46087.737500000003</v>
      </c>
      <c r="E430" t="s">
        <v>11</v>
      </c>
      <c r="F430" t="s">
        <v>13</v>
      </c>
      <c r="G430" t="s">
        <v>24</v>
      </c>
      <c r="H430" s="4">
        <v>280</v>
      </c>
      <c r="I430" s="5">
        <v>1</v>
      </c>
      <c r="K430" t="s">
        <v>26</v>
      </c>
    </row>
    <row r="431" spans="1:11" x14ac:dyDescent="0.3">
      <c r="A431">
        <v>1429</v>
      </c>
      <c r="B431" s="1">
        <v>46095</v>
      </c>
      <c r="C431" s="3">
        <v>0.84027777777777779</v>
      </c>
      <c r="D431" s="2">
        <f>tb_dados[[#This Row],[Data]]+tb_dados[[#This Row],[Hora]]</f>
        <v>46095.840277777781</v>
      </c>
      <c r="E431" t="s">
        <v>11</v>
      </c>
      <c r="F431" t="s">
        <v>15</v>
      </c>
      <c r="G431" t="s">
        <v>18</v>
      </c>
      <c r="H431" s="4">
        <v>120</v>
      </c>
      <c r="I431" s="5">
        <v>3</v>
      </c>
      <c r="K431" t="s">
        <v>28</v>
      </c>
    </row>
    <row r="432" spans="1:11" x14ac:dyDescent="0.3">
      <c r="A432">
        <v>1430</v>
      </c>
      <c r="B432" s="1">
        <v>46088</v>
      </c>
      <c r="C432" s="3">
        <v>0.74097222222222225</v>
      </c>
      <c r="D432" s="2">
        <f>tb_dados[[#This Row],[Data]]+tb_dados[[#This Row],[Hora]]</f>
        <v>46088.740972222222</v>
      </c>
      <c r="E432" t="s">
        <v>12</v>
      </c>
      <c r="F432" t="s">
        <v>13</v>
      </c>
      <c r="G432" t="s">
        <v>19</v>
      </c>
      <c r="H432" s="4">
        <v>850</v>
      </c>
      <c r="I432" s="5">
        <v>2</v>
      </c>
      <c r="K432" t="s">
        <v>25</v>
      </c>
    </row>
    <row r="433" spans="1:11" x14ac:dyDescent="0.3">
      <c r="A433">
        <v>1431</v>
      </c>
      <c r="B433" s="1">
        <v>46106</v>
      </c>
      <c r="C433" s="3">
        <v>0.86736111111111114</v>
      </c>
      <c r="D433" s="2">
        <f>tb_dados[[#This Row],[Data]]+tb_dados[[#This Row],[Hora]]</f>
        <v>46106.867361111108</v>
      </c>
      <c r="E433" t="s">
        <v>12</v>
      </c>
      <c r="F433" t="s">
        <v>13</v>
      </c>
      <c r="G433" t="s">
        <v>20</v>
      </c>
      <c r="H433" s="4">
        <v>420</v>
      </c>
      <c r="I433" s="5">
        <v>3</v>
      </c>
      <c r="K433" t="s">
        <v>25</v>
      </c>
    </row>
    <row r="434" spans="1:11" x14ac:dyDescent="0.3">
      <c r="A434">
        <v>1432</v>
      </c>
      <c r="B434" s="1">
        <v>46105</v>
      </c>
      <c r="C434" s="3">
        <v>0.63263888888888886</v>
      </c>
      <c r="D434" s="2">
        <f>tb_dados[[#This Row],[Data]]+tb_dados[[#This Row],[Hora]]</f>
        <v>46105.632638888892</v>
      </c>
      <c r="E434" t="s">
        <v>12</v>
      </c>
      <c r="F434" t="s">
        <v>16</v>
      </c>
      <c r="G434" t="s">
        <v>19</v>
      </c>
      <c r="H434" s="4">
        <v>850</v>
      </c>
      <c r="I434" s="5">
        <v>2</v>
      </c>
      <c r="K434" t="s">
        <v>26</v>
      </c>
    </row>
    <row r="435" spans="1:11" x14ac:dyDescent="0.3">
      <c r="A435">
        <v>1433</v>
      </c>
      <c r="B435" s="1">
        <v>46094</v>
      </c>
      <c r="C435" s="3">
        <v>0.84861111111111109</v>
      </c>
      <c r="D435" s="2">
        <f>tb_dados[[#This Row],[Data]]+tb_dados[[#This Row],[Hora]]</f>
        <v>46094.848611111112</v>
      </c>
      <c r="E435" t="s">
        <v>10</v>
      </c>
      <c r="F435" t="s">
        <v>16</v>
      </c>
      <c r="G435" t="s">
        <v>17</v>
      </c>
      <c r="H435" s="4">
        <v>900</v>
      </c>
      <c r="I435" s="5">
        <v>3</v>
      </c>
      <c r="K435" t="s">
        <v>28</v>
      </c>
    </row>
    <row r="436" spans="1:11" x14ac:dyDescent="0.3">
      <c r="A436">
        <v>1434</v>
      </c>
      <c r="B436" s="1">
        <v>46078</v>
      </c>
      <c r="C436" s="3">
        <v>0.42777777777777781</v>
      </c>
      <c r="D436" s="2">
        <f>tb_dados[[#This Row],[Data]]+tb_dados[[#This Row],[Hora]]</f>
        <v>46078.427777777775</v>
      </c>
      <c r="E436" t="s">
        <v>10</v>
      </c>
      <c r="F436" t="s">
        <v>14</v>
      </c>
      <c r="G436" t="s">
        <v>17</v>
      </c>
      <c r="H436" s="4">
        <v>900</v>
      </c>
      <c r="I436" s="5">
        <v>1</v>
      </c>
      <c r="K436" t="s">
        <v>28</v>
      </c>
    </row>
    <row r="437" spans="1:11" x14ac:dyDescent="0.3">
      <c r="A437">
        <v>1435</v>
      </c>
      <c r="B437" s="1">
        <v>46090</v>
      </c>
      <c r="C437" s="3">
        <v>0.47430555555555554</v>
      </c>
      <c r="D437" s="2">
        <f>tb_dados[[#This Row],[Data]]+tb_dados[[#This Row],[Hora]]</f>
        <v>46090.474305555559</v>
      </c>
      <c r="E437" t="s">
        <v>11</v>
      </c>
      <c r="F437" t="s">
        <v>15</v>
      </c>
      <c r="G437" t="s">
        <v>21</v>
      </c>
      <c r="H437" s="4">
        <v>350</v>
      </c>
      <c r="I437" s="5">
        <v>2</v>
      </c>
      <c r="K437" t="s">
        <v>27</v>
      </c>
    </row>
    <row r="438" spans="1:11" x14ac:dyDescent="0.3">
      <c r="A438">
        <v>1436</v>
      </c>
      <c r="B438" s="1">
        <v>46078</v>
      </c>
      <c r="C438" s="3">
        <v>0.58958333333333335</v>
      </c>
      <c r="D438" s="2">
        <f>tb_dados[[#This Row],[Data]]+tb_dados[[#This Row],[Hora]]</f>
        <v>46078.589583333334</v>
      </c>
      <c r="E438" t="s">
        <v>10</v>
      </c>
      <c r="F438" t="s">
        <v>15</v>
      </c>
      <c r="G438" t="s">
        <v>17</v>
      </c>
      <c r="H438" s="4">
        <v>900</v>
      </c>
      <c r="I438" s="5">
        <v>2</v>
      </c>
      <c r="K438" t="s">
        <v>27</v>
      </c>
    </row>
    <row r="439" spans="1:11" x14ac:dyDescent="0.3">
      <c r="A439">
        <v>1437</v>
      </c>
      <c r="B439" s="1">
        <v>46090</v>
      </c>
      <c r="C439" s="3">
        <v>0.52222222222222225</v>
      </c>
      <c r="D439" s="2">
        <f>tb_dados[[#This Row],[Data]]+tb_dados[[#This Row],[Hora]]</f>
        <v>46090.522222222222</v>
      </c>
      <c r="E439" t="s">
        <v>12</v>
      </c>
      <c r="F439" t="s">
        <v>14</v>
      </c>
      <c r="G439" t="s">
        <v>19</v>
      </c>
      <c r="H439" s="4">
        <v>850</v>
      </c>
      <c r="I439" s="5">
        <v>2</v>
      </c>
      <c r="K439" t="s">
        <v>27</v>
      </c>
    </row>
    <row r="440" spans="1:11" x14ac:dyDescent="0.3">
      <c r="A440">
        <v>1438</v>
      </c>
      <c r="B440" s="1">
        <v>46108</v>
      </c>
      <c r="C440" s="3">
        <v>0.37777777777777777</v>
      </c>
      <c r="D440" s="2">
        <f>tb_dados[[#This Row],[Data]]+tb_dados[[#This Row],[Hora]]</f>
        <v>46108.37777777778</v>
      </c>
      <c r="E440" t="s">
        <v>11</v>
      </c>
      <c r="F440" t="s">
        <v>14</v>
      </c>
      <c r="G440" t="s">
        <v>24</v>
      </c>
      <c r="H440" s="4">
        <v>280</v>
      </c>
      <c r="I440" s="5">
        <v>2</v>
      </c>
      <c r="K440" t="s">
        <v>27</v>
      </c>
    </row>
    <row r="441" spans="1:11" x14ac:dyDescent="0.3">
      <c r="A441">
        <v>1439</v>
      </c>
      <c r="B441" s="1">
        <v>46094</v>
      </c>
      <c r="C441" s="3">
        <v>0.67708333333333337</v>
      </c>
      <c r="D441" s="2">
        <f>tb_dados[[#This Row],[Data]]+tb_dados[[#This Row],[Hora]]</f>
        <v>46094.677083333336</v>
      </c>
      <c r="E441" t="s">
        <v>10</v>
      </c>
      <c r="F441" t="s">
        <v>13</v>
      </c>
      <c r="G441" t="s">
        <v>23</v>
      </c>
      <c r="H441" s="4">
        <v>4500</v>
      </c>
      <c r="I441" s="5">
        <v>1</v>
      </c>
      <c r="K441" t="s">
        <v>26</v>
      </c>
    </row>
    <row r="442" spans="1:11" x14ac:dyDescent="0.3">
      <c r="A442">
        <v>1440</v>
      </c>
      <c r="B442" s="1">
        <v>46104</v>
      </c>
      <c r="C442" s="3">
        <v>0.33402777777777781</v>
      </c>
      <c r="D442" s="2">
        <f>tb_dados[[#This Row],[Data]]+tb_dados[[#This Row],[Hora]]</f>
        <v>46104.334027777775</v>
      </c>
      <c r="E442" t="s">
        <v>11</v>
      </c>
      <c r="F442" t="s">
        <v>13</v>
      </c>
      <c r="G442" t="s">
        <v>21</v>
      </c>
      <c r="H442" s="4">
        <v>350</v>
      </c>
      <c r="I442" s="5">
        <v>2</v>
      </c>
      <c r="K442" t="s">
        <v>25</v>
      </c>
    </row>
    <row r="443" spans="1:11" x14ac:dyDescent="0.3">
      <c r="A443">
        <v>1441</v>
      </c>
      <c r="B443" s="1">
        <v>46103</v>
      </c>
      <c r="C443" s="3">
        <v>0.36180555555555555</v>
      </c>
      <c r="D443" s="2">
        <f>tb_dados[[#This Row],[Data]]+tb_dados[[#This Row],[Hora]]</f>
        <v>46103.361805555556</v>
      </c>
      <c r="E443" t="s">
        <v>12</v>
      </c>
      <c r="F443" t="s">
        <v>13</v>
      </c>
      <c r="G443" t="s">
        <v>20</v>
      </c>
      <c r="H443" s="4">
        <v>420</v>
      </c>
      <c r="I443" s="5">
        <v>1</v>
      </c>
      <c r="K443" t="s">
        <v>27</v>
      </c>
    </row>
    <row r="444" spans="1:11" x14ac:dyDescent="0.3">
      <c r="A444">
        <v>1442</v>
      </c>
      <c r="B444" s="1">
        <v>46106</v>
      </c>
      <c r="C444" s="3">
        <v>0.4826388888888889</v>
      </c>
      <c r="D444" s="2">
        <f>tb_dados[[#This Row],[Data]]+tb_dados[[#This Row],[Hora]]</f>
        <v>46106.482638888891</v>
      </c>
      <c r="E444" t="s">
        <v>11</v>
      </c>
      <c r="F444" t="s">
        <v>15</v>
      </c>
      <c r="G444" t="s">
        <v>18</v>
      </c>
      <c r="H444" s="4">
        <v>120</v>
      </c>
      <c r="I444" s="5">
        <v>3</v>
      </c>
      <c r="K444" t="s">
        <v>25</v>
      </c>
    </row>
    <row r="445" spans="1:11" x14ac:dyDescent="0.3">
      <c r="A445">
        <v>1443</v>
      </c>
      <c r="B445" s="1">
        <v>46101</v>
      </c>
      <c r="C445" s="3">
        <v>0.40763888888888888</v>
      </c>
      <c r="D445" s="2">
        <f>tb_dados[[#This Row],[Data]]+tb_dados[[#This Row],[Hora]]</f>
        <v>46101.407638888886</v>
      </c>
      <c r="E445" t="s">
        <v>10</v>
      </c>
      <c r="F445" t="s">
        <v>15</v>
      </c>
      <c r="G445" t="s">
        <v>22</v>
      </c>
      <c r="H445" s="4">
        <v>2100</v>
      </c>
      <c r="I445" s="5">
        <v>2</v>
      </c>
      <c r="K445" t="s">
        <v>26</v>
      </c>
    </row>
    <row r="446" spans="1:11" x14ac:dyDescent="0.3">
      <c r="A446">
        <v>1444</v>
      </c>
      <c r="B446" s="1">
        <v>46098</v>
      </c>
      <c r="C446" s="3">
        <v>0.57430555555555551</v>
      </c>
      <c r="D446" s="2">
        <f>tb_dados[[#This Row],[Data]]+tb_dados[[#This Row],[Hora]]</f>
        <v>46098.574305555558</v>
      </c>
      <c r="E446" t="s">
        <v>12</v>
      </c>
      <c r="F446" t="s">
        <v>14</v>
      </c>
      <c r="G446" t="s">
        <v>19</v>
      </c>
      <c r="H446" s="4">
        <v>850</v>
      </c>
      <c r="I446" s="5">
        <v>2</v>
      </c>
      <c r="K446" t="s">
        <v>26</v>
      </c>
    </row>
    <row r="447" spans="1:11" x14ac:dyDescent="0.3">
      <c r="A447">
        <v>1445</v>
      </c>
      <c r="B447" s="1">
        <v>46094</v>
      </c>
      <c r="C447" s="3">
        <v>0.89513888888888893</v>
      </c>
      <c r="D447" s="2">
        <f>tb_dados[[#This Row],[Data]]+tb_dados[[#This Row],[Hora]]</f>
        <v>46094.895138888889</v>
      </c>
      <c r="E447" t="s">
        <v>10</v>
      </c>
      <c r="F447" t="s">
        <v>15</v>
      </c>
      <c r="G447" t="s">
        <v>22</v>
      </c>
      <c r="H447" s="4">
        <v>2100</v>
      </c>
      <c r="I447" s="5">
        <v>2</v>
      </c>
      <c r="K447" t="s">
        <v>26</v>
      </c>
    </row>
    <row r="448" spans="1:11" x14ac:dyDescent="0.3">
      <c r="A448">
        <v>1446</v>
      </c>
      <c r="B448" s="1">
        <v>46102</v>
      </c>
      <c r="C448" s="3">
        <v>0.84027777777777779</v>
      </c>
      <c r="D448" s="2">
        <f>tb_dados[[#This Row],[Data]]+tb_dados[[#This Row],[Hora]]</f>
        <v>46102.840277777781</v>
      </c>
      <c r="E448" t="s">
        <v>10</v>
      </c>
      <c r="F448" t="s">
        <v>13</v>
      </c>
      <c r="G448" t="s">
        <v>22</v>
      </c>
      <c r="H448" s="4">
        <v>2100</v>
      </c>
      <c r="I448" s="5">
        <v>2</v>
      </c>
      <c r="K448" t="s">
        <v>28</v>
      </c>
    </row>
    <row r="449" spans="1:11" x14ac:dyDescent="0.3">
      <c r="A449">
        <v>1447</v>
      </c>
      <c r="B449" s="1">
        <v>46101</v>
      </c>
      <c r="C449" s="3">
        <v>0.84375</v>
      </c>
      <c r="D449" s="2">
        <f>tb_dados[[#This Row],[Data]]+tb_dados[[#This Row],[Hora]]</f>
        <v>46101.84375</v>
      </c>
      <c r="E449" t="s">
        <v>10</v>
      </c>
      <c r="F449" t="s">
        <v>13</v>
      </c>
      <c r="G449" t="s">
        <v>22</v>
      </c>
      <c r="H449" s="4">
        <v>2100</v>
      </c>
      <c r="I449" s="5">
        <v>2</v>
      </c>
      <c r="K449" t="s">
        <v>25</v>
      </c>
    </row>
    <row r="450" spans="1:11" x14ac:dyDescent="0.3">
      <c r="A450">
        <v>1448</v>
      </c>
      <c r="B450" s="1">
        <v>46095</v>
      </c>
      <c r="C450" s="3">
        <v>0.58819444444444446</v>
      </c>
      <c r="D450" s="2">
        <f>tb_dados[[#This Row],[Data]]+tb_dados[[#This Row],[Hora]]</f>
        <v>46095.588194444441</v>
      </c>
      <c r="E450" t="s">
        <v>10</v>
      </c>
      <c r="F450" t="s">
        <v>13</v>
      </c>
      <c r="G450" t="s">
        <v>23</v>
      </c>
      <c r="H450" s="4">
        <v>4500</v>
      </c>
      <c r="I450" s="5">
        <v>1</v>
      </c>
      <c r="K450" t="s">
        <v>28</v>
      </c>
    </row>
    <row r="451" spans="1:11" x14ac:dyDescent="0.3">
      <c r="A451">
        <v>1449</v>
      </c>
      <c r="B451" s="1">
        <v>46090</v>
      </c>
      <c r="C451" s="3">
        <v>0.73749999999999993</v>
      </c>
      <c r="D451" s="2">
        <f>tb_dados[[#This Row],[Data]]+tb_dados[[#This Row],[Hora]]</f>
        <v>46090.737500000003</v>
      </c>
      <c r="E451" t="s">
        <v>11</v>
      </c>
      <c r="F451" t="s">
        <v>13</v>
      </c>
      <c r="G451" t="s">
        <v>18</v>
      </c>
      <c r="H451" s="4">
        <v>120</v>
      </c>
      <c r="I451" s="5">
        <v>1</v>
      </c>
      <c r="K451" t="s">
        <v>25</v>
      </c>
    </row>
    <row r="452" spans="1:11" x14ac:dyDescent="0.3">
      <c r="A452">
        <v>1450</v>
      </c>
      <c r="B452" s="1">
        <v>46105</v>
      </c>
      <c r="C452" s="3">
        <v>0.74722222222222223</v>
      </c>
      <c r="D452" s="2">
        <f>tb_dados[[#This Row],[Data]]+tb_dados[[#This Row],[Hora]]</f>
        <v>46105.74722222222</v>
      </c>
      <c r="E452" t="s">
        <v>12</v>
      </c>
      <c r="F452" t="s">
        <v>14</v>
      </c>
      <c r="G452" t="s">
        <v>20</v>
      </c>
      <c r="H452" s="4">
        <v>420</v>
      </c>
      <c r="I452" s="5">
        <v>1</v>
      </c>
      <c r="K452" t="s">
        <v>27</v>
      </c>
    </row>
    <row r="453" spans="1:11" x14ac:dyDescent="0.3">
      <c r="A453">
        <v>1451</v>
      </c>
      <c r="B453" s="1">
        <v>46084</v>
      </c>
      <c r="C453" s="3">
        <v>0.7993055555555556</v>
      </c>
      <c r="D453" s="2">
        <f>tb_dados[[#This Row],[Data]]+tb_dados[[#This Row],[Hora]]</f>
        <v>46084.799305555556</v>
      </c>
      <c r="E453" t="s">
        <v>10</v>
      </c>
      <c r="F453" t="s">
        <v>15</v>
      </c>
      <c r="G453" t="s">
        <v>17</v>
      </c>
      <c r="H453" s="4">
        <v>900</v>
      </c>
      <c r="I453" s="5">
        <v>1</v>
      </c>
      <c r="K453" t="s">
        <v>27</v>
      </c>
    </row>
    <row r="454" spans="1:11" x14ac:dyDescent="0.3">
      <c r="A454">
        <v>1452</v>
      </c>
      <c r="B454" s="1">
        <v>46080</v>
      </c>
      <c r="C454" s="3">
        <v>0.4597222222222222</v>
      </c>
      <c r="D454" s="2">
        <f>tb_dados[[#This Row],[Data]]+tb_dados[[#This Row],[Hora]]</f>
        <v>46080.459722222222</v>
      </c>
      <c r="E454" t="s">
        <v>11</v>
      </c>
      <c r="F454" t="s">
        <v>13</v>
      </c>
      <c r="G454" t="s">
        <v>18</v>
      </c>
      <c r="H454" s="4">
        <v>120</v>
      </c>
      <c r="I454" s="5">
        <v>1</v>
      </c>
      <c r="K454" t="s">
        <v>28</v>
      </c>
    </row>
    <row r="455" spans="1:11" x14ac:dyDescent="0.3">
      <c r="A455">
        <v>1453</v>
      </c>
      <c r="B455" s="1">
        <v>46080</v>
      </c>
      <c r="C455" s="3">
        <v>0.58263888888888882</v>
      </c>
      <c r="D455" s="2">
        <f>tb_dados[[#This Row],[Data]]+tb_dados[[#This Row],[Hora]]</f>
        <v>46080.582638888889</v>
      </c>
      <c r="E455" t="s">
        <v>11</v>
      </c>
      <c r="F455" t="s">
        <v>13</v>
      </c>
      <c r="G455" t="s">
        <v>21</v>
      </c>
      <c r="H455" s="4">
        <v>350</v>
      </c>
      <c r="I455" s="5">
        <v>3</v>
      </c>
      <c r="K455" t="s">
        <v>25</v>
      </c>
    </row>
    <row r="456" spans="1:11" x14ac:dyDescent="0.3">
      <c r="A456">
        <v>1454</v>
      </c>
      <c r="B456" s="1">
        <v>46091</v>
      </c>
      <c r="C456" s="3">
        <v>0.95486111111111116</v>
      </c>
      <c r="D456" s="2">
        <f>tb_dados[[#This Row],[Data]]+tb_dados[[#This Row],[Hora]]</f>
        <v>46091.954861111109</v>
      </c>
      <c r="E456" t="s">
        <v>11</v>
      </c>
      <c r="F456" t="s">
        <v>14</v>
      </c>
      <c r="G456" t="s">
        <v>24</v>
      </c>
      <c r="H456" s="4">
        <v>280</v>
      </c>
      <c r="I456" s="5">
        <v>3</v>
      </c>
      <c r="K456" t="s">
        <v>28</v>
      </c>
    </row>
    <row r="457" spans="1:11" x14ac:dyDescent="0.3">
      <c r="A457">
        <v>1455</v>
      </c>
      <c r="B457" s="1">
        <v>46088</v>
      </c>
      <c r="C457" s="3">
        <v>0.51250000000000007</v>
      </c>
      <c r="D457" s="2">
        <f>tb_dados[[#This Row],[Data]]+tb_dados[[#This Row],[Hora]]</f>
        <v>46088.512499999997</v>
      </c>
      <c r="E457" t="s">
        <v>10</v>
      </c>
      <c r="F457" t="s">
        <v>16</v>
      </c>
      <c r="G457" t="s">
        <v>22</v>
      </c>
      <c r="H457" s="4">
        <v>2100</v>
      </c>
      <c r="I457" s="5">
        <v>3</v>
      </c>
      <c r="K457" t="s">
        <v>26</v>
      </c>
    </row>
    <row r="458" spans="1:11" x14ac:dyDescent="0.3">
      <c r="A458">
        <v>1456</v>
      </c>
      <c r="B458" s="1">
        <v>46092</v>
      </c>
      <c r="C458" s="3">
        <v>0.56041666666666667</v>
      </c>
      <c r="D458" s="2">
        <f>tb_dados[[#This Row],[Data]]+tb_dados[[#This Row],[Hora]]</f>
        <v>46092.560416666667</v>
      </c>
      <c r="E458" t="s">
        <v>12</v>
      </c>
      <c r="F458" t="s">
        <v>15</v>
      </c>
      <c r="G458" t="s">
        <v>19</v>
      </c>
      <c r="H458" s="4">
        <v>850</v>
      </c>
      <c r="I458" s="5">
        <v>2</v>
      </c>
      <c r="K458" t="s">
        <v>28</v>
      </c>
    </row>
    <row r="459" spans="1:11" x14ac:dyDescent="0.3">
      <c r="A459">
        <v>1457</v>
      </c>
      <c r="B459" s="1">
        <v>46081</v>
      </c>
      <c r="C459" s="3">
        <v>0.4777777777777778</v>
      </c>
      <c r="D459" s="2">
        <f>tb_dados[[#This Row],[Data]]+tb_dados[[#This Row],[Hora]]</f>
        <v>46081.477777777778</v>
      </c>
      <c r="E459" t="s">
        <v>12</v>
      </c>
      <c r="F459" t="s">
        <v>15</v>
      </c>
      <c r="G459" t="s">
        <v>19</v>
      </c>
      <c r="H459" s="4">
        <v>850</v>
      </c>
      <c r="I459" s="5">
        <v>3</v>
      </c>
      <c r="K459" t="s">
        <v>25</v>
      </c>
    </row>
    <row r="460" spans="1:11" x14ac:dyDescent="0.3">
      <c r="A460">
        <v>1458</v>
      </c>
      <c r="B460" s="1">
        <v>46101</v>
      </c>
      <c r="C460" s="3">
        <v>0.85833333333333339</v>
      </c>
      <c r="D460" s="2">
        <f>tb_dados[[#This Row],[Data]]+tb_dados[[#This Row],[Hora]]</f>
        <v>46101.85833333333</v>
      </c>
      <c r="E460" t="s">
        <v>12</v>
      </c>
      <c r="F460" t="s">
        <v>13</v>
      </c>
      <c r="G460" t="s">
        <v>19</v>
      </c>
      <c r="H460" s="4">
        <v>850</v>
      </c>
      <c r="I460" s="5">
        <v>1</v>
      </c>
      <c r="K460" t="s">
        <v>25</v>
      </c>
    </row>
    <row r="461" spans="1:11" x14ac:dyDescent="0.3">
      <c r="A461">
        <v>1459</v>
      </c>
      <c r="B461" s="1">
        <v>46087</v>
      </c>
      <c r="C461" s="3">
        <v>0.81805555555555554</v>
      </c>
      <c r="D461" s="2">
        <f>tb_dados[[#This Row],[Data]]+tb_dados[[#This Row],[Hora]]</f>
        <v>46087.818055555559</v>
      </c>
      <c r="E461" t="s">
        <v>10</v>
      </c>
      <c r="F461" t="s">
        <v>16</v>
      </c>
      <c r="G461" t="s">
        <v>17</v>
      </c>
      <c r="H461" s="4">
        <v>900</v>
      </c>
      <c r="I461" s="5">
        <v>1</v>
      </c>
      <c r="K461" t="s">
        <v>26</v>
      </c>
    </row>
    <row r="462" spans="1:11" x14ac:dyDescent="0.3">
      <c r="A462">
        <v>1460</v>
      </c>
      <c r="B462" s="1">
        <v>46103</v>
      </c>
      <c r="C462" s="3">
        <v>0.44722222222222219</v>
      </c>
      <c r="D462" s="2">
        <f>tb_dados[[#This Row],[Data]]+tb_dados[[#This Row],[Hora]]</f>
        <v>46103.447222222225</v>
      </c>
      <c r="E462" t="s">
        <v>12</v>
      </c>
      <c r="F462" t="s">
        <v>14</v>
      </c>
      <c r="G462" t="s">
        <v>19</v>
      </c>
      <c r="H462" s="4">
        <v>850</v>
      </c>
      <c r="I462" s="5">
        <v>3</v>
      </c>
      <c r="K462" t="s">
        <v>26</v>
      </c>
    </row>
    <row r="463" spans="1:11" x14ac:dyDescent="0.3">
      <c r="A463">
        <v>1461</v>
      </c>
      <c r="B463" s="1">
        <v>46102</v>
      </c>
      <c r="C463" s="3">
        <v>0.53611111111111109</v>
      </c>
      <c r="D463" s="2">
        <f>tb_dados[[#This Row],[Data]]+tb_dados[[#This Row],[Hora]]</f>
        <v>46102.536111111112</v>
      </c>
      <c r="E463" t="s">
        <v>11</v>
      </c>
      <c r="F463" t="s">
        <v>15</v>
      </c>
      <c r="G463" t="s">
        <v>18</v>
      </c>
      <c r="H463" s="4">
        <v>120</v>
      </c>
      <c r="I463" s="5">
        <v>2</v>
      </c>
      <c r="K463" t="s">
        <v>25</v>
      </c>
    </row>
    <row r="464" spans="1:11" x14ac:dyDescent="0.3">
      <c r="A464">
        <v>1462</v>
      </c>
      <c r="B464" s="1">
        <v>46085</v>
      </c>
      <c r="C464" s="3">
        <v>0.95416666666666661</v>
      </c>
      <c r="D464" s="2">
        <f>tb_dados[[#This Row],[Data]]+tb_dados[[#This Row],[Hora]]</f>
        <v>46085.95416666667</v>
      </c>
      <c r="E464" t="s">
        <v>11</v>
      </c>
      <c r="F464" t="s">
        <v>13</v>
      </c>
      <c r="G464" t="s">
        <v>21</v>
      </c>
      <c r="H464" s="4">
        <v>350</v>
      </c>
      <c r="I464" s="5">
        <v>3</v>
      </c>
      <c r="K464" t="s">
        <v>27</v>
      </c>
    </row>
    <row r="465" spans="1:11" x14ac:dyDescent="0.3">
      <c r="A465">
        <v>1463</v>
      </c>
      <c r="B465" s="1">
        <v>46101</v>
      </c>
      <c r="C465" s="3">
        <v>0.64583333333333337</v>
      </c>
      <c r="D465" s="2">
        <f>tb_dados[[#This Row],[Data]]+tb_dados[[#This Row],[Hora]]</f>
        <v>46101.645833333336</v>
      </c>
      <c r="E465" t="s">
        <v>11</v>
      </c>
      <c r="F465" t="s">
        <v>13</v>
      </c>
      <c r="G465" t="s">
        <v>24</v>
      </c>
      <c r="H465" s="4">
        <v>280</v>
      </c>
      <c r="I465" s="5">
        <v>3</v>
      </c>
      <c r="K465" t="s">
        <v>26</v>
      </c>
    </row>
    <row r="466" spans="1:11" x14ac:dyDescent="0.3">
      <c r="A466">
        <v>1464</v>
      </c>
      <c r="B466" s="1">
        <v>46086</v>
      </c>
      <c r="C466" s="3">
        <v>0.41944444444444445</v>
      </c>
      <c r="D466" s="2">
        <f>tb_dados[[#This Row],[Data]]+tb_dados[[#This Row],[Hora]]</f>
        <v>46086.419444444444</v>
      </c>
      <c r="E466" t="s">
        <v>10</v>
      </c>
      <c r="F466" t="s">
        <v>16</v>
      </c>
      <c r="G466" t="s">
        <v>22</v>
      </c>
      <c r="H466" s="4">
        <v>2100</v>
      </c>
      <c r="I466" s="5">
        <v>3</v>
      </c>
      <c r="K466" t="s">
        <v>27</v>
      </c>
    </row>
    <row r="467" spans="1:11" x14ac:dyDescent="0.3">
      <c r="A467">
        <v>1465</v>
      </c>
      <c r="B467" s="1">
        <v>46084</v>
      </c>
      <c r="C467" s="3">
        <v>0.86944444444444446</v>
      </c>
      <c r="D467" s="2">
        <f>tb_dados[[#This Row],[Data]]+tb_dados[[#This Row],[Hora]]</f>
        <v>46084.869444444441</v>
      </c>
      <c r="E467" t="s">
        <v>12</v>
      </c>
      <c r="F467" t="s">
        <v>13</v>
      </c>
      <c r="G467" t="s">
        <v>20</v>
      </c>
      <c r="H467" s="4">
        <v>420</v>
      </c>
      <c r="I467" s="5">
        <v>3</v>
      </c>
      <c r="K467" t="s">
        <v>25</v>
      </c>
    </row>
    <row r="468" spans="1:11" x14ac:dyDescent="0.3">
      <c r="A468">
        <v>1466</v>
      </c>
      <c r="B468" s="1">
        <v>46095</v>
      </c>
      <c r="C468" s="3">
        <v>0.80972222222222223</v>
      </c>
      <c r="D468" s="2">
        <f>tb_dados[[#This Row],[Data]]+tb_dados[[#This Row],[Hora]]</f>
        <v>46095.80972222222</v>
      </c>
      <c r="E468" t="s">
        <v>12</v>
      </c>
      <c r="F468" t="s">
        <v>15</v>
      </c>
      <c r="G468" t="s">
        <v>20</v>
      </c>
      <c r="H468" s="4">
        <v>420</v>
      </c>
      <c r="I468" s="5">
        <v>2</v>
      </c>
      <c r="K468" t="s">
        <v>28</v>
      </c>
    </row>
    <row r="469" spans="1:11" x14ac:dyDescent="0.3">
      <c r="A469">
        <v>1467</v>
      </c>
      <c r="B469" s="1">
        <v>46102</v>
      </c>
      <c r="C469" s="3">
        <v>0.72916666666666663</v>
      </c>
      <c r="D469" s="2">
        <f>tb_dados[[#This Row],[Data]]+tb_dados[[#This Row],[Hora]]</f>
        <v>46102.729166666664</v>
      </c>
      <c r="E469" t="s">
        <v>11</v>
      </c>
      <c r="F469" t="s">
        <v>14</v>
      </c>
      <c r="G469" t="s">
        <v>21</v>
      </c>
      <c r="H469" s="4">
        <v>350</v>
      </c>
      <c r="I469" s="5">
        <v>1</v>
      </c>
      <c r="K469" t="s">
        <v>26</v>
      </c>
    </row>
    <row r="470" spans="1:11" x14ac:dyDescent="0.3">
      <c r="A470">
        <v>1468</v>
      </c>
      <c r="B470" s="1">
        <v>46080</v>
      </c>
      <c r="C470" s="3">
        <v>0.94930555555555562</v>
      </c>
      <c r="D470" s="2">
        <f>tb_dados[[#This Row],[Data]]+tb_dados[[#This Row],[Hora]]</f>
        <v>46080.949305555558</v>
      </c>
      <c r="E470" t="s">
        <v>11</v>
      </c>
      <c r="F470" t="s">
        <v>15</v>
      </c>
      <c r="G470" t="s">
        <v>21</v>
      </c>
      <c r="H470" s="4">
        <v>350</v>
      </c>
      <c r="I470" s="5">
        <v>3</v>
      </c>
      <c r="K470" t="s">
        <v>25</v>
      </c>
    </row>
    <row r="471" spans="1:11" x14ac:dyDescent="0.3">
      <c r="A471">
        <v>1469</v>
      </c>
      <c r="B471" s="1">
        <v>46092</v>
      </c>
      <c r="C471" s="3">
        <v>0.37083333333333335</v>
      </c>
      <c r="D471" s="2">
        <f>tb_dados[[#This Row],[Data]]+tb_dados[[#This Row],[Hora]]</f>
        <v>46092.370833333334</v>
      </c>
      <c r="E471" t="s">
        <v>10</v>
      </c>
      <c r="F471" t="s">
        <v>16</v>
      </c>
      <c r="G471" t="s">
        <v>22</v>
      </c>
      <c r="H471" s="4">
        <v>2100</v>
      </c>
      <c r="I471" s="5">
        <v>2</v>
      </c>
      <c r="K471" t="s">
        <v>27</v>
      </c>
    </row>
    <row r="472" spans="1:11" x14ac:dyDescent="0.3">
      <c r="A472">
        <v>1470</v>
      </c>
      <c r="B472" s="1">
        <v>46092</v>
      </c>
      <c r="C472" s="3">
        <v>0.88055555555555554</v>
      </c>
      <c r="D472" s="2">
        <f>tb_dados[[#This Row],[Data]]+tb_dados[[#This Row],[Hora]]</f>
        <v>46092.880555555559</v>
      </c>
      <c r="E472" t="s">
        <v>12</v>
      </c>
      <c r="F472" t="s">
        <v>13</v>
      </c>
      <c r="G472" t="s">
        <v>20</v>
      </c>
      <c r="H472" s="4">
        <v>420</v>
      </c>
      <c r="I472" s="5">
        <v>1</v>
      </c>
      <c r="K472" t="s">
        <v>25</v>
      </c>
    </row>
    <row r="473" spans="1:11" x14ac:dyDescent="0.3">
      <c r="A473">
        <v>1471</v>
      </c>
      <c r="B473" s="1">
        <v>46081</v>
      </c>
      <c r="C473" s="3">
        <v>0.6</v>
      </c>
      <c r="D473" s="2">
        <f>tb_dados[[#This Row],[Data]]+tb_dados[[#This Row],[Hora]]</f>
        <v>46081.599999999999</v>
      </c>
      <c r="E473" t="s">
        <v>10</v>
      </c>
      <c r="F473" t="s">
        <v>16</v>
      </c>
      <c r="G473" t="s">
        <v>23</v>
      </c>
      <c r="H473" s="4">
        <v>4500</v>
      </c>
      <c r="I473" s="5">
        <v>1</v>
      </c>
      <c r="K473" t="s">
        <v>27</v>
      </c>
    </row>
    <row r="474" spans="1:11" x14ac:dyDescent="0.3">
      <c r="A474">
        <v>1472</v>
      </c>
      <c r="B474" s="1">
        <v>46086</v>
      </c>
      <c r="C474" s="3">
        <v>0.8222222222222223</v>
      </c>
      <c r="D474" s="2">
        <f>tb_dados[[#This Row],[Data]]+tb_dados[[#This Row],[Hora]]</f>
        <v>46086.822222222225</v>
      </c>
      <c r="E474" t="s">
        <v>10</v>
      </c>
      <c r="F474" t="s">
        <v>13</v>
      </c>
      <c r="G474" t="s">
        <v>22</v>
      </c>
      <c r="H474" s="4">
        <v>2100</v>
      </c>
      <c r="I474" s="5">
        <v>2</v>
      </c>
      <c r="K474" t="s">
        <v>28</v>
      </c>
    </row>
    <row r="475" spans="1:11" x14ac:dyDescent="0.3">
      <c r="A475">
        <v>1473</v>
      </c>
      <c r="B475" s="1">
        <v>46085</v>
      </c>
      <c r="C475" s="3">
        <v>0.52916666666666667</v>
      </c>
      <c r="D475" s="2">
        <f>tb_dados[[#This Row],[Data]]+tb_dados[[#This Row],[Hora]]</f>
        <v>46085.529166666667</v>
      </c>
      <c r="E475" t="s">
        <v>12</v>
      </c>
      <c r="F475" t="s">
        <v>16</v>
      </c>
      <c r="G475" t="s">
        <v>20</v>
      </c>
      <c r="H475" s="4">
        <v>420</v>
      </c>
      <c r="I475" s="5">
        <v>3</v>
      </c>
      <c r="K475" t="s">
        <v>27</v>
      </c>
    </row>
    <row r="476" spans="1:11" x14ac:dyDescent="0.3">
      <c r="A476">
        <v>1474</v>
      </c>
      <c r="B476" s="1">
        <v>46096</v>
      </c>
      <c r="C476" s="3">
        <v>0.94791666666666663</v>
      </c>
      <c r="D476" s="2">
        <f>tb_dados[[#This Row],[Data]]+tb_dados[[#This Row],[Hora]]</f>
        <v>46096.947916666664</v>
      </c>
      <c r="E476" t="s">
        <v>10</v>
      </c>
      <c r="F476" t="s">
        <v>13</v>
      </c>
      <c r="G476" t="s">
        <v>22</v>
      </c>
      <c r="H476" s="4">
        <v>2100</v>
      </c>
      <c r="I476" s="5">
        <v>1</v>
      </c>
      <c r="K476" t="s">
        <v>25</v>
      </c>
    </row>
    <row r="477" spans="1:11" x14ac:dyDescent="0.3">
      <c r="A477">
        <v>1475</v>
      </c>
      <c r="B477" s="1">
        <v>46079</v>
      </c>
      <c r="C477" s="3">
        <v>0.67361111111111116</v>
      </c>
      <c r="D477" s="2">
        <f>tb_dados[[#This Row],[Data]]+tb_dados[[#This Row],[Hora]]</f>
        <v>46079.673611111109</v>
      </c>
      <c r="E477" t="s">
        <v>11</v>
      </c>
      <c r="F477" t="s">
        <v>13</v>
      </c>
      <c r="G477" t="s">
        <v>18</v>
      </c>
      <c r="H477" s="4">
        <v>120</v>
      </c>
      <c r="I477" s="5">
        <v>2</v>
      </c>
      <c r="K477" t="s">
        <v>28</v>
      </c>
    </row>
    <row r="478" spans="1:11" x14ac:dyDescent="0.3">
      <c r="A478">
        <v>1476</v>
      </c>
      <c r="B478" s="1">
        <v>46099</v>
      </c>
      <c r="C478" s="3">
        <v>0.43958333333333338</v>
      </c>
      <c r="D478" s="2">
        <f>tb_dados[[#This Row],[Data]]+tb_dados[[#This Row],[Hora]]</f>
        <v>46099.439583333333</v>
      </c>
      <c r="E478" t="s">
        <v>12</v>
      </c>
      <c r="F478" t="s">
        <v>15</v>
      </c>
      <c r="G478" t="s">
        <v>19</v>
      </c>
      <c r="H478" s="4">
        <v>850</v>
      </c>
      <c r="I478" s="5">
        <v>1</v>
      </c>
      <c r="K478" t="s">
        <v>27</v>
      </c>
    </row>
    <row r="479" spans="1:11" x14ac:dyDescent="0.3">
      <c r="A479">
        <v>1477</v>
      </c>
      <c r="B479" s="1">
        <v>46106</v>
      </c>
      <c r="C479" s="3">
        <v>0.83611111111111114</v>
      </c>
      <c r="D479" s="2">
        <f>tb_dados[[#This Row],[Data]]+tb_dados[[#This Row],[Hora]]</f>
        <v>46106.836111111108</v>
      </c>
      <c r="E479" t="s">
        <v>11</v>
      </c>
      <c r="F479" t="s">
        <v>13</v>
      </c>
      <c r="G479" t="s">
        <v>21</v>
      </c>
      <c r="H479" s="4">
        <v>350</v>
      </c>
      <c r="I479" s="5">
        <v>3</v>
      </c>
      <c r="K479" t="s">
        <v>28</v>
      </c>
    </row>
    <row r="480" spans="1:11" x14ac:dyDescent="0.3">
      <c r="A480">
        <v>1478</v>
      </c>
      <c r="B480" s="1">
        <v>46104</v>
      </c>
      <c r="C480" s="3">
        <v>0.41944444444444445</v>
      </c>
      <c r="D480" s="2">
        <f>tb_dados[[#This Row],[Data]]+tb_dados[[#This Row],[Hora]]</f>
        <v>46104.419444444444</v>
      </c>
      <c r="E480" t="s">
        <v>12</v>
      </c>
      <c r="F480" t="s">
        <v>13</v>
      </c>
      <c r="G480" t="s">
        <v>19</v>
      </c>
      <c r="H480" s="4">
        <v>850</v>
      </c>
      <c r="I480" s="5">
        <v>2</v>
      </c>
      <c r="K480" t="s">
        <v>27</v>
      </c>
    </row>
    <row r="481" spans="1:11" x14ac:dyDescent="0.3">
      <c r="A481">
        <v>1479</v>
      </c>
      <c r="B481" s="1">
        <v>46078</v>
      </c>
      <c r="C481" s="3">
        <v>0.87708333333333333</v>
      </c>
      <c r="D481" s="2">
        <f>tb_dados[[#This Row],[Data]]+tb_dados[[#This Row],[Hora]]</f>
        <v>46078.877083333333</v>
      </c>
      <c r="E481" t="s">
        <v>12</v>
      </c>
      <c r="F481" t="s">
        <v>16</v>
      </c>
      <c r="G481" t="s">
        <v>20</v>
      </c>
      <c r="H481" s="4">
        <v>420</v>
      </c>
      <c r="I481" s="5">
        <v>3</v>
      </c>
      <c r="K481" t="s">
        <v>25</v>
      </c>
    </row>
    <row r="482" spans="1:11" x14ac:dyDescent="0.3">
      <c r="A482">
        <v>1480</v>
      </c>
      <c r="B482" s="1">
        <v>46078</v>
      </c>
      <c r="C482" s="3">
        <v>0.39513888888888887</v>
      </c>
      <c r="D482" s="2">
        <f>tb_dados[[#This Row],[Data]]+tb_dados[[#This Row],[Hora]]</f>
        <v>46078.395138888889</v>
      </c>
      <c r="E482" t="s">
        <v>10</v>
      </c>
      <c r="F482" t="s">
        <v>14</v>
      </c>
      <c r="G482" t="s">
        <v>17</v>
      </c>
      <c r="H482" s="4">
        <v>900</v>
      </c>
      <c r="I482" s="5">
        <v>2</v>
      </c>
      <c r="K482" t="s">
        <v>27</v>
      </c>
    </row>
    <row r="483" spans="1:11" x14ac:dyDescent="0.3">
      <c r="A483">
        <v>1481</v>
      </c>
      <c r="B483" s="1">
        <v>46101</v>
      </c>
      <c r="C483" s="3">
        <v>0.9243055555555556</v>
      </c>
      <c r="D483" s="2">
        <f>tb_dados[[#This Row],[Data]]+tb_dados[[#This Row],[Hora]]</f>
        <v>46101.924305555556</v>
      </c>
      <c r="E483" t="s">
        <v>11</v>
      </c>
      <c r="F483" t="s">
        <v>14</v>
      </c>
      <c r="G483" t="s">
        <v>21</v>
      </c>
      <c r="H483" s="4">
        <v>350</v>
      </c>
      <c r="I483" s="5">
        <v>2</v>
      </c>
      <c r="K483" t="s">
        <v>25</v>
      </c>
    </row>
    <row r="484" spans="1:11" x14ac:dyDescent="0.3">
      <c r="A484">
        <v>1482</v>
      </c>
      <c r="B484" s="1">
        <v>46101</v>
      </c>
      <c r="C484" s="3">
        <v>0.82152777777777775</v>
      </c>
      <c r="D484" s="2">
        <f>tb_dados[[#This Row],[Data]]+tb_dados[[#This Row],[Hora]]</f>
        <v>46101.821527777778</v>
      </c>
      <c r="E484" t="s">
        <v>11</v>
      </c>
      <c r="F484" t="s">
        <v>16</v>
      </c>
      <c r="G484" t="s">
        <v>24</v>
      </c>
      <c r="H484" s="4">
        <v>280</v>
      </c>
      <c r="I484" s="5">
        <v>1</v>
      </c>
      <c r="K484" t="s">
        <v>27</v>
      </c>
    </row>
    <row r="485" spans="1:11" x14ac:dyDescent="0.3">
      <c r="A485">
        <v>1483</v>
      </c>
      <c r="B485" s="1">
        <v>46105</v>
      </c>
      <c r="C485" s="3">
        <v>0.47083333333333338</v>
      </c>
      <c r="D485" s="2">
        <f>tb_dados[[#This Row],[Data]]+tb_dados[[#This Row],[Hora]]</f>
        <v>46105.470833333333</v>
      </c>
      <c r="E485" t="s">
        <v>12</v>
      </c>
      <c r="F485" t="s">
        <v>14</v>
      </c>
      <c r="G485" t="s">
        <v>19</v>
      </c>
      <c r="H485" s="4">
        <v>850</v>
      </c>
      <c r="I485" s="5">
        <v>3</v>
      </c>
      <c r="K485" t="s">
        <v>27</v>
      </c>
    </row>
    <row r="486" spans="1:11" x14ac:dyDescent="0.3">
      <c r="A486">
        <v>1484</v>
      </c>
      <c r="B486" s="1">
        <v>46086</v>
      </c>
      <c r="C486" s="3">
        <v>0.48472222222222222</v>
      </c>
      <c r="D486" s="2">
        <f>tb_dados[[#This Row],[Data]]+tb_dados[[#This Row],[Hora]]</f>
        <v>46086.484722222223</v>
      </c>
      <c r="E486" t="s">
        <v>11</v>
      </c>
      <c r="F486" t="s">
        <v>14</v>
      </c>
      <c r="G486" t="s">
        <v>24</v>
      </c>
      <c r="H486" s="4">
        <v>280</v>
      </c>
      <c r="I486" s="5">
        <v>2</v>
      </c>
      <c r="K486" t="s">
        <v>28</v>
      </c>
    </row>
    <row r="487" spans="1:11" x14ac:dyDescent="0.3">
      <c r="A487">
        <v>1485</v>
      </c>
      <c r="B487" s="1">
        <v>46100</v>
      </c>
      <c r="C487" s="3">
        <v>0.49791666666666662</v>
      </c>
      <c r="D487" s="2">
        <f>tb_dados[[#This Row],[Data]]+tb_dados[[#This Row],[Hora]]</f>
        <v>46100.497916666667</v>
      </c>
      <c r="E487" t="s">
        <v>12</v>
      </c>
      <c r="F487" t="s">
        <v>15</v>
      </c>
      <c r="G487" t="s">
        <v>19</v>
      </c>
      <c r="H487" s="4">
        <v>850</v>
      </c>
      <c r="I487" s="5">
        <v>3</v>
      </c>
      <c r="K487" t="s">
        <v>26</v>
      </c>
    </row>
    <row r="488" spans="1:11" x14ac:dyDescent="0.3">
      <c r="A488">
        <v>1486</v>
      </c>
      <c r="B488" s="1">
        <v>46088</v>
      </c>
      <c r="C488" s="3">
        <v>0.85138888888888886</v>
      </c>
      <c r="D488" s="2">
        <f>tb_dados[[#This Row],[Data]]+tb_dados[[#This Row],[Hora]]</f>
        <v>46088.851388888892</v>
      </c>
      <c r="E488" t="s">
        <v>11</v>
      </c>
      <c r="F488" t="s">
        <v>14</v>
      </c>
      <c r="G488" t="s">
        <v>18</v>
      </c>
      <c r="H488" s="4">
        <v>120</v>
      </c>
      <c r="I488" s="5">
        <v>2</v>
      </c>
      <c r="K488" t="s">
        <v>27</v>
      </c>
    </row>
    <row r="489" spans="1:11" x14ac:dyDescent="0.3">
      <c r="A489">
        <v>1487</v>
      </c>
      <c r="B489" s="1">
        <v>46096</v>
      </c>
      <c r="C489" s="3">
        <v>0.52013888888888882</v>
      </c>
      <c r="D489" s="2">
        <f>tb_dados[[#This Row],[Data]]+tb_dados[[#This Row],[Hora]]</f>
        <v>46096.520138888889</v>
      </c>
      <c r="E489" t="s">
        <v>10</v>
      </c>
      <c r="F489" t="s">
        <v>15</v>
      </c>
      <c r="G489" t="s">
        <v>23</v>
      </c>
      <c r="H489" s="4">
        <v>4500</v>
      </c>
      <c r="I489" s="5">
        <v>2</v>
      </c>
      <c r="K489" t="s">
        <v>25</v>
      </c>
    </row>
    <row r="490" spans="1:11" x14ac:dyDescent="0.3">
      <c r="A490">
        <v>1488</v>
      </c>
      <c r="B490" s="1">
        <v>46082</v>
      </c>
      <c r="C490" s="3">
        <v>0.54722222222222217</v>
      </c>
      <c r="D490" s="2">
        <f>tb_dados[[#This Row],[Data]]+tb_dados[[#This Row],[Hora]]</f>
        <v>46082.547222222223</v>
      </c>
      <c r="E490" t="s">
        <v>12</v>
      </c>
      <c r="F490" t="s">
        <v>15</v>
      </c>
      <c r="G490" t="s">
        <v>19</v>
      </c>
      <c r="H490" s="4">
        <v>850</v>
      </c>
      <c r="I490" s="5">
        <v>1</v>
      </c>
      <c r="K490" t="s">
        <v>28</v>
      </c>
    </row>
    <row r="491" spans="1:11" x14ac:dyDescent="0.3">
      <c r="A491">
        <v>1489</v>
      </c>
      <c r="B491" s="1">
        <v>46105</v>
      </c>
      <c r="C491" s="3">
        <v>0.4152777777777778</v>
      </c>
      <c r="D491" s="2">
        <f>tb_dados[[#This Row],[Data]]+tb_dados[[#This Row],[Hora]]</f>
        <v>46105.415277777778</v>
      </c>
      <c r="E491" t="s">
        <v>11</v>
      </c>
      <c r="F491" t="s">
        <v>13</v>
      </c>
      <c r="G491" t="s">
        <v>24</v>
      </c>
      <c r="H491" s="4">
        <v>280</v>
      </c>
      <c r="I491" s="5">
        <v>1</v>
      </c>
      <c r="K491" t="s">
        <v>28</v>
      </c>
    </row>
    <row r="492" spans="1:11" x14ac:dyDescent="0.3">
      <c r="A492">
        <v>1490</v>
      </c>
      <c r="B492" s="1">
        <v>46090</v>
      </c>
      <c r="C492" s="3">
        <v>0.53541666666666665</v>
      </c>
      <c r="D492" s="2">
        <f>tb_dados[[#This Row],[Data]]+tb_dados[[#This Row],[Hora]]</f>
        <v>46090.535416666666</v>
      </c>
      <c r="E492" t="s">
        <v>11</v>
      </c>
      <c r="F492" t="s">
        <v>13</v>
      </c>
      <c r="G492" t="s">
        <v>21</v>
      </c>
      <c r="H492" s="4">
        <v>350</v>
      </c>
      <c r="I492" s="5">
        <v>2</v>
      </c>
      <c r="K492" t="s">
        <v>26</v>
      </c>
    </row>
    <row r="493" spans="1:11" x14ac:dyDescent="0.3">
      <c r="A493">
        <v>1491</v>
      </c>
      <c r="B493" s="1">
        <v>46086</v>
      </c>
      <c r="C493" s="3">
        <v>0.9194444444444444</v>
      </c>
      <c r="D493" s="2">
        <f>tb_dados[[#This Row],[Data]]+tb_dados[[#This Row],[Hora]]</f>
        <v>46086.919444444444</v>
      </c>
      <c r="E493" t="s">
        <v>12</v>
      </c>
      <c r="F493" t="s">
        <v>13</v>
      </c>
      <c r="G493" t="s">
        <v>19</v>
      </c>
      <c r="H493" s="4">
        <v>850</v>
      </c>
      <c r="I493" s="5">
        <v>3</v>
      </c>
      <c r="K493" t="s">
        <v>27</v>
      </c>
    </row>
    <row r="494" spans="1:11" x14ac:dyDescent="0.3">
      <c r="A494">
        <v>1492</v>
      </c>
      <c r="B494" s="1">
        <v>46083</v>
      </c>
      <c r="C494" s="3">
        <v>0.7583333333333333</v>
      </c>
      <c r="D494" s="2">
        <f>tb_dados[[#This Row],[Data]]+tb_dados[[#This Row],[Hora]]</f>
        <v>46083.758333333331</v>
      </c>
      <c r="E494" t="s">
        <v>10</v>
      </c>
      <c r="F494" t="s">
        <v>15</v>
      </c>
      <c r="G494" t="s">
        <v>23</v>
      </c>
      <c r="H494" s="4">
        <v>4500</v>
      </c>
      <c r="I494" s="5">
        <v>3</v>
      </c>
      <c r="K494" t="s">
        <v>27</v>
      </c>
    </row>
    <row r="495" spans="1:11" x14ac:dyDescent="0.3">
      <c r="A495">
        <v>1493</v>
      </c>
      <c r="B495" s="1">
        <v>46098</v>
      </c>
      <c r="C495" s="3">
        <v>0.5541666666666667</v>
      </c>
      <c r="D495" s="2">
        <f>tb_dados[[#This Row],[Data]]+tb_dados[[#This Row],[Hora]]</f>
        <v>46098.554166666669</v>
      </c>
      <c r="E495" t="s">
        <v>11</v>
      </c>
      <c r="F495" t="s">
        <v>15</v>
      </c>
      <c r="G495" t="s">
        <v>18</v>
      </c>
      <c r="H495" s="4">
        <v>120</v>
      </c>
      <c r="I495" s="5">
        <v>2</v>
      </c>
      <c r="K495" t="s">
        <v>28</v>
      </c>
    </row>
    <row r="496" spans="1:11" x14ac:dyDescent="0.3">
      <c r="A496">
        <v>1494</v>
      </c>
      <c r="B496" s="1">
        <v>46079</v>
      </c>
      <c r="C496" s="3">
        <v>0.67638888888888893</v>
      </c>
      <c r="D496" s="2">
        <f>tb_dados[[#This Row],[Data]]+tb_dados[[#This Row],[Hora]]</f>
        <v>46079.676388888889</v>
      </c>
      <c r="E496" t="s">
        <v>11</v>
      </c>
      <c r="F496" t="s">
        <v>13</v>
      </c>
      <c r="G496" t="s">
        <v>21</v>
      </c>
      <c r="H496" s="4">
        <v>350</v>
      </c>
      <c r="I496" s="5">
        <v>3</v>
      </c>
      <c r="K496" t="s">
        <v>28</v>
      </c>
    </row>
    <row r="497" spans="1:11" x14ac:dyDescent="0.3">
      <c r="A497">
        <v>1495</v>
      </c>
      <c r="B497" s="1">
        <v>46094</v>
      </c>
      <c r="C497" s="3">
        <v>0.94097222222222221</v>
      </c>
      <c r="D497" s="2">
        <f>tb_dados[[#This Row],[Data]]+tb_dados[[#This Row],[Hora]]</f>
        <v>46094.940972222219</v>
      </c>
      <c r="E497" t="s">
        <v>10</v>
      </c>
      <c r="F497" t="s">
        <v>16</v>
      </c>
      <c r="G497" t="s">
        <v>17</v>
      </c>
      <c r="H497" s="4">
        <v>900</v>
      </c>
      <c r="I497" s="5">
        <v>2</v>
      </c>
      <c r="K497" t="s">
        <v>25</v>
      </c>
    </row>
    <row r="498" spans="1:11" x14ac:dyDescent="0.3">
      <c r="A498">
        <v>1496</v>
      </c>
      <c r="B498" s="1">
        <v>46098</v>
      </c>
      <c r="C498" s="3">
        <v>0.88888888888888884</v>
      </c>
      <c r="D498" s="2">
        <f>tb_dados[[#This Row],[Data]]+tb_dados[[#This Row],[Hora]]</f>
        <v>46098.888888888891</v>
      </c>
      <c r="E498" t="s">
        <v>11</v>
      </c>
      <c r="F498" t="s">
        <v>14</v>
      </c>
      <c r="G498" t="s">
        <v>18</v>
      </c>
      <c r="H498" s="4">
        <v>120</v>
      </c>
      <c r="I498" s="5">
        <v>2</v>
      </c>
      <c r="K498" t="s">
        <v>28</v>
      </c>
    </row>
    <row r="499" spans="1:11" x14ac:dyDescent="0.3">
      <c r="A499">
        <v>1497</v>
      </c>
      <c r="B499" s="1">
        <v>46105</v>
      </c>
      <c r="C499" s="3">
        <v>0.89583333333333337</v>
      </c>
      <c r="D499" s="2">
        <f>tb_dados[[#This Row],[Data]]+tb_dados[[#This Row],[Hora]]</f>
        <v>46105.895833333336</v>
      </c>
      <c r="E499" t="s">
        <v>12</v>
      </c>
      <c r="F499" t="s">
        <v>14</v>
      </c>
      <c r="G499" t="s">
        <v>19</v>
      </c>
      <c r="H499" s="4">
        <v>850</v>
      </c>
      <c r="I499" s="5">
        <v>1</v>
      </c>
      <c r="K499" t="s">
        <v>27</v>
      </c>
    </row>
    <row r="500" spans="1:11" x14ac:dyDescent="0.3">
      <c r="A500">
        <v>1498</v>
      </c>
      <c r="B500" s="1">
        <v>46100</v>
      </c>
      <c r="C500" s="3">
        <v>0.47916666666666669</v>
      </c>
      <c r="D500" s="2">
        <f>tb_dados[[#This Row],[Data]]+tb_dados[[#This Row],[Hora]]</f>
        <v>46100.479166666664</v>
      </c>
      <c r="E500" t="s">
        <v>10</v>
      </c>
      <c r="F500" t="s">
        <v>13</v>
      </c>
      <c r="G500" t="s">
        <v>23</v>
      </c>
      <c r="H500" s="4">
        <v>4500</v>
      </c>
      <c r="I500" s="5">
        <v>1</v>
      </c>
      <c r="K500" t="s">
        <v>28</v>
      </c>
    </row>
    <row r="501" spans="1:11" x14ac:dyDescent="0.3">
      <c r="A501">
        <v>1499</v>
      </c>
      <c r="B501" s="1">
        <v>46101</v>
      </c>
      <c r="C501" s="3">
        <v>0.67013888888888884</v>
      </c>
      <c r="D501" s="2">
        <f>tb_dados[[#This Row],[Data]]+tb_dados[[#This Row],[Hora]]</f>
        <v>46101.670138888891</v>
      </c>
      <c r="E501" t="s">
        <v>12</v>
      </c>
      <c r="F501" t="s">
        <v>13</v>
      </c>
      <c r="G501" t="s">
        <v>20</v>
      </c>
      <c r="H501" s="4">
        <v>420</v>
      </c>
      <c r="I501" s="5">
        <v>1</v>
      </c>
      <c r="K501" t="s">
        <v>26</v>
      </c>
    </row>
    <row r="502" spans="1:11" x14ac:dyDescent="0.3">
      <c r="A502">
        <v>1500</v>
      </c>
      <c r="B502" s="1">
        <v>46091</v>
      </c>
      <c r="C502" s="3">
        <v>0.38472222222222219</v>
      </c>
      <c r="D502" s="2">
        <f>tb_dados[[#This Row],[Data]]+tb_dados[[#This Row],[Hora]]</f>
        <v>46091.384722222225</v>
      </c>
      <c r="E502" t="s">
        <v>12</v>
      </c>
      <c r="F502" t="s">
        <v>13</v>
      </c>
      <c r="G502" t="s">
        <v>19</v>
      </c>
      <c r="H502" s="4">
        <v>850</v>
      </c>
      <c r="I502" s="5">
        <v>1</v>
      </c>
      <c r="K502" t="s">
        <v>25</v>
      </c>
    </row>
    <row r="503" spans="1:11" x14ac:dyDescent="0.3">
      <c r="A503">
        <v>1501</v>
      </c>
      <c r="B503" s="1">
        <v>46080</v>
      </c>
      <c r="C503" s="3">
        <v>0.52986111111111112</v>
      </c>
      <c r="D503" s="2">
        <f>tb_dados[[#This Row],[Data]]+tb_dados[[#This Row],[Hora]]</f>
        <v>46080.529861111114</v>
      </c>
      <c r="E503" t="s">
        <v>10</v>
      </c>
      <c r="F503" t="s">
        <v>15</v>
      </c>
      <c r="G503" t="s">
        <v>22</v>
      </c>
      <c r="H503" s="4">
        <v>2100</v>
      </c>
      <c r="I503" s="5">
        <v>1</v>
      </c>
      <c r="K503" t="s">
        <v>25</v>
      </c>
    </row>
    <row r="504" spans="1:11" x14ac:dyDescent="0.3">
      <c r="A504">
        <v>1502</v>
      </c>
      <c r="B504" s="1">
        <v>46088</v>
      </c>
      <c r="C504" s="3">
        <v>0.84722222222222221</v>
      </c>
      <c r="D504" s="2">
        <f>tb_dados[[#This Row],[Data]]+tb_dados[[#This Row],[Hora]]</f>
        <v>46088.847222222219</v>
      </c>
      <c r="E504" t="s">
        <v>11</v>
      </c>
      <c r="F504" t="s">
        <v>14</v>
      </c>
      <c r="G504" t="s">
        <v>24</v>
      </c>
      <c r="H504" s="4">
        <v>280</v>
      </c>
      <c r="I504" s="5">
        <v>1</v>
      </c>
      <c r="K504" t="s">
        <v>27</v>
      </c>
    </row>
    <row r="505" spans="1:11" x14ac:dyDescent="0.3">
      <c r="A505">
        <v>1503</v>
      </c>
      <c r="B505" s="1">
        <v>46106</v>
      </c>
      <c r="C505" s="3">
        <v>0.87083333333333324</v>
      </c>
      <c r="D505" s="2">
        <f>tb_dados[[#This Row],[Data]]+tb_dados[[#This Row],[Hora]]</f>
        <v>46106.870833333334</v>
      </c>
      <c r="E505" t="s">
        <v>10</v>
      </c>
      <c r="F505" t="s">
        <v>14</v>
      </c>
      <c r="G505" t="s">
        <v>23</v>
      </c>
      <c r="H505" s="4">
        <v>4500</v>
      </c>
      <c r="I505" s="5">
        <v>1</v>
      </c>
      <c r="K505" t="s">
        <v>25</v>
      </c>
    </row>
    <row r="506" spans="1:11" x14ac:dyDescent="0.3">
      <c r="A506">
        <v>1504</v>
      </c>
      <c r="B506" s="1">
        <v>46096</v>
      </c>
      <c r="C506" s="3">
        <v>0.7680555555555556</v>
      </c>
      <c r="D506" s="2">
        <f>tb_dados[[#This Row],[Data]]+tb_dados[[#This Row],[Hora]]</f>
        <v>46096.768055555556</v>
      </c>
      <c r="E506" t="s">
        <v>11</v>
      </c>
      <c r="F506" t="s">
        <v>13</v>
      </c>
      <c r="G506" t="s">
        <v>24</v>
      </c>
      <c r="H506" s="4">
        <v>280</v>
      </c>
      <c r="I506" s="5">
        <v>3</v>
      </c>
      <c r="K506" t="s">
        <v>28</v>
      </c>
    </row>
    <row r="507" spans="1:11" x14ac:dyDescent="0.3">
      <c r="A507">
        <v>1505</v>
      </c>
      <c r="B507" s="1">
        <v>46103</v>
      </c>
      <c r="C507" s="3">
        <v>0.33819444444444446</v>
      </c>
      <c r="D507" s="2">
        <f>tb_dados[[#This Row],[Data]]+tb_dados[[#This Row],[Hora]]</f>
        <v>46103.338194444441</v>
      </c>
      <c r="E507" t="s">
        <v>10</v>
      </c>
      <c r="F507" t="s">
        <v>13</v>
      </c>
      <c r="G507" t="s">
        <v>23</v>
      </c>
      <c r="H507" s="4">
        <v>4500</v>
      </c>
      <c r="I507" s="5">
        <v>1</v>
      </c>
      <c r="K507" t="s">
        <v>25</v>
      </c>
    </row>
    <row r="508" spans="1:11" x14ac:dyDescent="0.3">
      <c r="A508">
        <v>1506</v>
      </c>
      <c r="B508" s="1">
        <v>46101</v>
      </c>
      <c r="C508" s="3">
        <v>0.86944444444444446</v>
      </c>
      <c r="D508" s="2">
        <f>tb_dados[[#This Row],[Data]]+tb_dados[[#This Row],[Hora]]</f>
        <v>46101.869444444441</v>
      </c>
      <c r="E508" t="s">
        <v>10</v>
      </c>
      <c r="F508" t="s">
        <v>15</v>
      </c>
      <c r="G508" t="s">
        <v>23</v>
      </c>
      <c r="H508" s="4">
        <v>4500</v>
      </c>
      <c r="I508" s="5">
        <v>2</v>
      </c>
      <c r="K508" t="s">
        <v>27</v>
      </c>
    </row>
    <row r="509" spans="1:11" x14ac:dyDescent="0.3">
      <c r="A509">
        <v>1507</v>
      </c>
      <c r="B509" s="1">
        <v>46097</v>
      </c>
      <c r="C509" s="3">
        <v>0.3923611111111111</v>
      </c>
      <c r="D509" s="2">
        <f>tb_dados[[#This Row],[Data]]+tb_dados[[#This Row],[Hora]]</f>
        <v>46097.392361111109</v>
      </c>
      <c r="E509" t="s">
        <v>10</v>
      </c>
      <c r="F509" t="s">
        <v>14</v>
      </c>
      <c r="G509" t="s">
        <v>23</v>
      </c>
      <c r="H509" s="4">
        <v>4500</v>
      </c>
      <c r="I509" s="5">
        <v>2</v>
      </c>
      <c r="K509" t="s">
        <v>26</v>
      </c>
    </row>
    <row r="510" spans="1:11" x14ac:dyDescent="0.3">
      <c r="A510">
        <v>1508</v>
      </c>
      <c r="B510" s="1">
        <v>46096</v>
      </c>
      <c r="C510" s="3">
        <v>0.56041666666666667</v>
      </c>
      <c r="D510" s="2">
        <f>tb_dados[[#This Row],[Data]]+tb_dados[[#This Row],[Hora]]</f>
        <v>46096.560416666667</v>
      </c>
      <c r="E510" t="s">
        <v>11</v>
      </c>
      <c r="F510" t="s">
        <v>16</v>
      </c>
      <c r="G510" t="s">
        <v>18</v>
      </c>
      <c r="H510" s="4">
        <v>120</v>
      </c>
      <c r="I510" s="5">
        <v>3</v>
      </c>
      <c r="K510" t="s">
        <v>25</v>
      </c>
    </row>
    <row r="511" spans="1:11" x14ac:dyDescent="0.3">
      <c r="A511">
        <v>1509</v>
      </c>
      <c r="B511" s="1">
        <v>46099</v>
      </c>
      <c r="C511" s="3">
        <v>0.3527777777777778</v>
      </c>
      <c r="D511" s="2">
        <f>tb_dados[[#This Row],[Data]]+tb_dados[[#This Row],[Hora]]</f>
        <v>46099.352777777778</v>
      </c>
      <c r="E511" t="s">
        <v>11</v>
      </c>
      <c r="F511" t="s">
        <v>15</v>
      </c>
      <c r="G511" t="s">
        <v>21</v>
      </c>
      <c r="H511" s="4">
        <v>350</v>
      </c>
      <c r="I511" s="5">
        <v>3</v>
      </c>
      <c r="K511" t="s">
        <v>25</v>
      </c>
    </row>
    <row r="512" spans="1:11" x14ac:dyDescent="0.3">
      <c r="A512">
        <v>1510</v>
      </c>
      <c r="B512" s="1">
        <v>46084</v>
      </c>
      <c r="C512" s="3">
        <v>0.80833333333333324</v>
      </c>
      <c r="D512" s="2">
        <f>tb_dados[[#This Row],[Data]]+tb_dados[[#This Row],[Hora]]</f>
        <v>46084.808333333334</v>
      </c>
      <c r="E512" t="s">
        <v>10</v>
      </c>
      <c r="F512" t="s">
        <v>15</v>
      </c>
      <c r="G512" t="s">
        <v>23</v>
      </c>
      <c r="H512" s="4">
        <v>4500</v>
      </c>
      <c r="I512" s="5">
        <v>1</v>
      </c>
      <c r="K512" t="s">
        <v>27</v>
      </c>
    </row>
    <row r="513" spans="1:11" x14ac:dyDescent="0.3">
      <c r="A513">
        <v>1511</v>
      </c>
      <c r="B513" s="1">
        <v>46089</v>
      </c>
      <c r="C513" s="3">
        <v>0.46388888888888885</v>
      </c>
      <c r="D513" s="2">
        <f>tb_dados[[#This Row],[Data]]+tb_dados[[#This Row],[Hora]]</f>
        <v>46089.463888888888</v>
      </c>
      <c r="E513" t="s">
        <v>11</v>
      </c>
      <c r="F513" t="s">
        <v>13</v>
      </c>
      <c r="G513" t="s">
        <v>21</v>
      </c>
      <c r="H513" s="4">
        <v>350</v>
      </c>
      <c r="I513" s="5">
        <v>3</v>
      </c>
      <c r="K513" t="s">
        <v>28</v>
      </c>
    </row>
    <row r="514" spans="1:11" x14ac:dyDescent="0.3">
      <c r="A514">
        <v>1512</v>
      </c>
      <c r="B514" s="1">
        <v>46083</v>
      </c>
      <c r="C514" s="3">
        <v>0.4201388888888889</v>
      </c>
      <c r="D514" s="2">
        <f>tb_dados[[#This Row],[Data]]+tb_dados[[#This Row],[Hora]]</f>
        <v>46083.420138888891</v>
      </c>
      <c r="E514" t="s">
        <v>12</v>
      </c>
      <c r="F514" t="s">
        <v>16</v>
      </c>
      <c r="G514" t="s">
        <v>20</v>
      </c>
      <c r="H514" s="4">
        <v>420</v>
      </c>
      <c r="I514" s="5">
        <v>2</v>
      </c>
      <c r="K514" t="s">
        <v>26</v>
      </c>
    </row>
    <row r="515" spans="1:11" x14ac:dyDescent="0.3">
      <c r="A515">
        <v>1513</v>
      </c>
      <c r="B515" s="1">
        <v>46108</v>
      </c>
      <c r="C515" s="3">
        <v>0.85416666666666663</v>
      </c>
      <c r="D515" s="2">
        <f>tb_dados[[#This Row],[Data]]+tb_dados[[#This Row],[Hora]]</f>
        <v>46108.854166666664</v>
      </c>
      <c r="E515" t="s">
        <v>10</v>
      </c>
      <c r="F515" t="s">
        <v>13</v>
      </c>
      <c r="G515" t="s">
        <v>17</v>
      </c>
      <c r="H515" s="4">
        <v>900</v>
      </c>
      <c r="I515" s="5">
        <v>1</v>
      </c>
      <c r="K515" t="s">
        <v>27</v>
      </c>
    </row>
    <row r="516" spans="1:11" x14ac:dyDescent="0.3">
      <c r="A516">
        <v>1514</v>
      </c>
      <c r="B516" s="1">
        <v>46079</v>
      </c>
      <c r="C516" s="3">
        <v>0.95138888888888884</v>
      </c>
      <c r="D516" s="2">
        <f>tb_dados[[#This Row],[Data]]+tb_dados[[#This Row],[Hora]]</f>
        <v>46079.951388888891</v>
      </c>
      <c r="E516" t="s">
        <v>12</v>
      </c>
      <c r="F516" t="s">
        <v>14</v>
      </c>
      <c r="G516" t="s">
        <v>20</v>
      </c>
      <c r="H516" s="4">
        <v>420</v>
      </c>
      <c r="I516" s="5">
        <v>2</v>
      </c>
      <c r="K516" t="s">
        <v>26</v>
      </c>
    </row>
    <row r="517" spans="1:11" x14ac:dyDescent="0.3">
      <c r="A517">
        <v>1515</v>
      </c>
      <c r="B517" s="1">
        <v>46107</v>
      </c>
      <c r="C517" s="3">
        <v>0.6743055555555556</v>
      </c>
      <c r="D517" s="2">
        <f>tb_dados[[#This Row],[Data]]+tb_dados[[#This Row],[Hora]]</f>
        <v>46107.674305555556</v>
      </c>
      <c r="E517" t="s">
        <v>11</v>
      </c>
      <c r="F517" t="s">
        <v>15</v>
      </c>
      <c r="G517" t="s">
        <v>21</v>
      </c>
      <c r="H517" s="4">
        <v>350</v>
      </c>
      <c r="I517" s="5">
        <v>3</v>
      </c>
      <c r="K517" t="s">
        <v>26</v>
      </c>
    </row>
    <row r="518" spans="1:11" x14ac:dyDescent="0.3">
      <c r="A518">
        <v>1516</v>
      </c>
      <c r="B518" s="1">
        <v>46092</v>
      </c>
      <c r="C518" s="3">
        <v>0.57847222222222217</v>
      </c>
      <c r="D518" s="2">
        <f>tb_dados[[#This Row],[Data]]+tb_dados[[#This Row],[Hora]]</f>
        <v>46092.578472222223</v>
      </c>
      <c r="E518" t="s">
        <v>10</v>
      </c>
      <c r="F518" t="s">
        <v>14</v>
      </c>
      <c r="G518" t="s">
        <v>22</v>
      </c>
      <c r="H518" s="4">
        <v>2100</v>
      </c>
      <c r="I518" s="5">
        <v>3</v>
      </c>
      <c r="K518" t="s">
        <v>26</v>
      </c>
    </row>
    <row r="519" spans="1:11" x14ac:dyDescent="0.3">
      <c r="A519">
        <v>1517</v>
      </c>
      <c r="B519" s="1">
        <v>46103</v>
      </c>
      <c r="C519" s="3">
        <v>0.43055555555555558</v>
      </c>
      <c r="D519" s="2">
        <f>tb_dados[[#This Row],[Data]]+tb_dados[[#This Row],[Hora]]</f>
        <v>46103.430555555555</v>
      </c>
      <c r="E519" t="s">
        <v>11</v>
      </c>
      <c r="F519" t="s">
        <v>15</v>
      </c>
      <c r="G519" t="s">
        <v>21</v>
      </c>
      <c r="H519" s="4">
        <v>350</v>
      </c>
      <c r="I519" s="5">
        <v>3</v>
      </c>
      <c r="K519" t="s">
        <v>25</v>
      </c>
    </row>
    <row r="520" spans="1:11" x14ac:dyDescent="0.3">
      <c r="A520">
        <v>1518</v>
      </c>
      <c r="B520" s="1">
        <v>46101</v>
      </c>
      <c r="C520" s="3">
        <v>0.70208333333333339</v>
      </c>
      <c r="D520" s="2">
        <f>tb_dados[[#This Row],[Data]]+tb_dados[[#This Row],[Hora]]</f>
        <v>46101.70208333333</v>
      </c>
      <c r="E520" t="s">
        <v>10</v>
      </c>
      <c r="F520" t="s">
        <v>15</v>
      </c>
      <c r="G520" t="s">
        <v>17</v>
      </c>
      <c r="H520" s="4">
        <v>900</v>
      </c>
      <c r="I520" s="5">
        <v>3</v>
      </c>
      <c r="K520" t="s">
        <v>25</v>
      </c>
    </row>
    <row r="521" spans="1:11" x14ac:dyDescent="0.3">
      <c r="A521">
        <v>1519</v>
      </c>
      <c r="B521" s="1">
        <v>46107</v>
      </c>
      <c r="C521" s="3">
        <v>0.49305555555555558</v>
      </c>
      <c r="D521" s="2">
        <f>tb_dados[[#This Row],[Data]]+tb_dados[[#This Row],[Hora]]</f>
        <v>46107.493055555555</v>
      </c>
      <c r="E521" t="s">
        <v>12</v>
      </c>
      <c r="F521" t="s">
        <v>14</v>
      </c>
      <c r="G521" t="s">
        <v>19</v>
      </c>
      <c r="H521" s="4">
        <v>850</v>
      </c>
      <c r="I521" s="5">
        <v>3</v>
      </c>
      <c r="K521" t="s">
        <v>28</v>
      </c>
    </row>
    <row r="522" spans="1:11" x14ac:dyDescent="0.3">
      <c r="A522">
        <v>1520</v>
      </c>
      <c r="B522" s="1">
        <v>46105</v>
      </c>
      <c r="C522" s="3">
        <v>0.76527777777777783</v>
      </c>
      <c r="D522" s="2">
        <f>tb_dados[[#This Row],[Data]]+tb_dados[[#This Row],[Hora]]</f>
        <v>46105.765277777777</v>
      </c>
      <c r="E522" t="s">
        <v>12</v>
      </c>
      <c r="F522" t="s">
        <v>13</v>
      </c>
      <c r="G522" t="s">
        <v>20</v>
      </c>
      <c r="H522" s="4">
        <v>420</v>
      </c>
      <c r="I522" s="5">
        <v>2</v>
      </c>
      <c r="K522" t="s">
        <v>28</v>
      </c>
    </row>
    <row r="523" spans="1:11" x14ac:dyDescent="0.3">
      <c r="A523">
        <v>1521</v>
      </c>
      <c r="B523" s="1">
        <v>46107</v>
      </c>
      <c r="C523" s="3">
        <v>0.91041666666666676</v>
      </c>
      <c r="D523" s="2">
        <f>tb_dados[[#This Row],[Data]]+tb_dados[[#This Row],[Hora]]</f>
        <v>46107.910416666666</v>
      </c>
      <c r="E523" t="s">
        <v>11</v>
      </c>
      <c r="F523" t="s">
        <v>14</v>
      </c>
      <c r="G523" t="s">
        <v>24</v>
      </c>
      <c r="H523" s="4">
        <v>280</v>
      </c>
      <c r="I523" s="5">
        <v>2</v>
      </c>
      <c r="K523" t="s">
        <v>28</v>
      </c>
    </row>
    <row r="524" spans="1:11" x14ac:dyDescent="0.3">
      <c r="A524">
        <v>1522</v>
      </c>
      <c r="B524" s="1">
        <v>46087</v>
      </c>
      <c r="C524" s="3">
        <v>0.625</v>
      </c>
      <c r="D524" s="2">
        <f>tb_dados[[#This Row],[Data]]+tb_dados[[#This Row],[Hora]]</f>
        <v>46087.625</v>
      </c>
      <c r="E524" t="s">
        <v>10</v>
      </c>
      <c r="F524" t="s">
        <v>15</v>
      </c>
      <c r="G524" t="s">
        <v>23</v>
      </c>
      <c r="H524" s="4">
        <v>4500</v>
      </c>
      <c r="I524" s="5">
        <v>2</v>
      </c>
      <c r="K524" t="s">
        <v>27</v>
      </c>
    </row>
    <row r="525" spans="1:11" x14ac:dyDescent="0.3">
      <c r="A525">
        <v>1523</v>
      </c>
      <c r="B525" s="1">
        <v>46101</v>
      </c>
      <c r="C525" s="3">
        <v>0.4993055555555555</v>
      </c>
      <c r="D525" s="2">
        <f>tb_dados[[#This Row],[Data]]+tb_dados[[#This Row],[Hora]]</f>
        <v>46101.499305555553</v>
      </c>
      <c r="E525" t="s">
        <v>12</v>
      </c>
      <c r="F525" t="s">
        <v>13</v>
      </c>
      <c r="G525" t="s">
        <v>20</v>
      </c>
      <c r="H525" s="4">
        <v>420</v>
      </c>
      <c r="I525" s="5">
        <v>2</v>
      </c>
      <c r="K525" t="s">
        <v>26</v>
      </c>
    </row>
    <row r="526" spans="1:11" x14ac:dyDescent="0.3">
      <c r="A526">
        <v>1524</v>
      </c>
      <c r="B526" s="1">
        <v>46090</v>
      </c>
      <c r="C526" s="3">
        <v>0.43402777777777773</v>
      </c>
      <c r="D526" s="2">
        <f>tb_dados[[#This Row],[Data]]+tb_dados[[#This Row],[Hora]]</f>
        <v>46090.434027777781</v>
      </c>
      <c r="E526" t="s">
        <v>11</v>
      </c>
      <c r="F526" t="s">
        <v>14</v>
      </c>
      <c r="G526" t="s">
        <v>21</v>
      </c>
      <c r="H526" s="4">
        <v>350</v>
      </c>
      <c r="I526" s="5">
        <v>3</v>
      </c>
      <c r="K526" t="s">
        <v>25</v>
      </c>
    </row>
    <row r="527" spans="1:11" x14ac:dyDescent="0.3">
      <c r="A527">
        <v>1525</v>
      </c>
      <c r="B527" s="1">
        <v>46080</v>
      </c>
      <c r="C527" s="3">
        <v>0.82847222222222217</v>
      </c>
      <c r="D527" s="2">
        <f>tb_dados[[#This Row],[Data]]+tb_dados[[#This Row],[Hora]]</f>
        <v>46080.828472222223</v>
      </c>
      <c r="E527" t="s">
        <v>11</v>
      </c>
      <c r="F527" t="s">
        <v>15</v>
      </c>
      <c r="G527" t="s">
        <v>21</v>
      </c>
      <c r="H527" s="4">
        <v>350</v>
      </c>
      <c r="I527" s="5">
        <v>2</v>
      </c>
      <c r="K527" t="s">
        <v>26</v>
      </c>
    </row>
    <row r="528" spans="1:11" x14ac:dyDescent="0.3">
      <c r="A528">
        <v>1526</v>
      </c>
      <c r="B528" s="1">
        <v>46105</v>
      </c>
      <c r="C528" s="3">
        <v>0.7368055555555556</v>
      </c>
      <c r="D528" s="2">
        <f>tb_dados[[#This Row],[Data]]+tb_dados[[#This Row],[Hora]]</f>
        <v>46105.736805555556</v>
      </c>
      <c r="E528" t="s">
        <v>10</v>
      </c>
      <c r="F528" t="s">
        <v>14</v>
      </c>
      <c r="G528" t="s">
        <v>17</v>
      </c>
      <c r="H528" s="4">
        <v>900</v>
      </c>
      <c r="I528" s="5">
        <v>3</v>
      </c>
      <c r="K528" t="s">
        <v>28</v>
      </c>
    </row>
    <row r="529" spans="1:11" x14ac:dyDescent="0.3">
      <c r="A529">
        <v>1527</v>
      </c>
      <c r="B529" s="1">
        <v>46098</v>
      </c>
      <c r="C529" s="3">
        <v>0.53888888888888886</v>
      </c>
      <c r="D529" s="2">
        <f>tb_dados[[#This Row],[Data]]+tb_dados[[#This Row],[Hora]]</f>
        <v>46098.538888888892</v>
      </c>
      <c r="E529" t="s">
        <v>10</v>
      </c>
      <c r="F529" t="s">
        <v>13</v>
      </c>
      <c r="G529" t="s">
        <v>23</v>
      </c>
      <c r="H529" s="4">
        <v>4500</v>
      </c>
      <c r="I529" s="5">
        <v>3</v>
      </c>
      <c r="K529" t="s">
        <v>28</v>
      </c>
    </row>
    <row r="530" spans="1:11" x14ac:dyDescent="0.3">
      <c r="A530">
        <v>1528</v>
      </c>
      <c r="B530" s="1">
        <v>46092</v>
      </c>
      <c r="C530" s="3">
        <v>0.84861111111111109</v>
      </c>
      <c r="D530" s="2">
        <f>tb_dados[[#This Row],[Data]]+tb_dados[[#This Row],[Hora]]</f>
        <v>46092.848611111112</v>
      </c>
      <c r="E530" t="s">
        <v>10</v>
      </c>
      <c r="F530" t="s">
        <v>15</v>
      </c>
      <c r="G530" t="s">
        <v>17</v>
      </c>
      <c r="H530" s="4">
        <v>900</v>
      </c>
      <c r="I530" s="5">
        <v>3</v>
      </c>
      <c r="K530" t="s">
        <v>26</v>
      </c>
    </row>
    <row r="531" spans="1:11" x14ac:dyDescent="0.3">
      <c r="A531">
        <v>1529</v>
      </c>
      <c r="B531" s="1">
        <v>46084</v>
      </c>
      <c r="C531" s="3">
        <v>0.52222222222222225</v>
      </c>
      <c r="D531" s="2">
        <f>tb_dados[[#This Row],[Data]]+tb_dados[[#This Row],[Hora]]</f>
        <v>46084.522222222222</v>
      </c>
      <c r="E531" t="s">
        <v>12</v>
      </c>
      <c r="F531" t="s">
        <v>16</v>
      </c>
      <c r="G531" t="s">
        <v>20</v>
      </c>
      <c r="H531" s="4">
        <v>420</v>
      </c>
      <c r="I531" s="5">
        <v>2</v>
      </c>
      <c r="K531" t="s">
        <v>26</v>
      </c>
    </row>
    <row r="532" spans="1:11" x14ac:dyDescent="0.3">
      <c r="A532">
        <v>1530</v>
      </c>
      <c r="B532" s="1">
        <v>46083</v>
      </c>
      <c r="C532" s="3">
        <v>0.85486111111111107</v>
      </c>
      <c r="D532" s="2">
        <f>tb_dados[[#This Row],[Data]]+tb_dados[[#This Row],[Hora]]</f>
        <v>46083.854861111111</v>
      </c>
      <c r="E532" t="s">
        <v>10</v>
      </c>
      <c r="F532" t="s">
        <v>13</v>
      </c>
      <c r="G532" t="s">
        <v>17</v>
      </c>
      <c r="H532" s="4">
        <v>900</v>
      </c>
      <c r="I532" s="5">
        <v>1</v>
      </c>
      <c r="K532" t="s">
        <v>27</v>
      </c>
    </row>
    <row r="533" spans="1:11" x14ac:dyDescent="0.3">
      <c r="A533">
        <v>1531</v>
      </c>
      <c r="B533" s="1">
        <v>46091</v>
      </c>
      <c r="C533" s="3">
        <v>0.3659722222222222</v>
      </c>
      <c r="D533" s="2">
        <f>tb_dados[[#This Row],[Data]]+tb_dados[[#This Row],[Hora]]</f>
        <v>46091.365972222222</v>
      </c>
      <c r="E533" t="s">
        <v>12</v>
      </c>
      <c r="F533" t="s">
        <v>16</v>
      </c>
      <c r="G533" t="s">
        <v>20</v>
      </c>
      <c r="H533" s="4">
        <v>420</v>
      </c>
      <c r="I533" s="5">
        <v>3</v>
      </c>
      <c r="K533" t="s">
        <v>28</v>
      </c>
    </row>
    <row r="534" spans="1:11" x14ac:dyDescent="0.3">
      <c r="A534">
        <v>1532</v>
      </c>
      <c r="B534" s="1">
        <v>46094</v>
      </c>
      <c r="C534" s="3">
        <v>0.87291666666666667</v>
      </c>
      <c r="D534" s="2">
        <f>tb_dados[[#This Row],[Data]]+tb_dados[[#This Row],[Hora]]</f>
        <v>46094.872916666667</v>
      </c>
      <c r="E534" t="s">
        <v>11</v>
      </c>
      <c r="F534" t="s">
        <v>13</v>
      </c>
      <c r="G534" t="s">
        <v>24</v>
      </c>
      <c r="H534" s="4">
        <v>280</v>
      </c>
      <c r="I534" s="5">
        <v>3</v>
      </c>
      <c r="K534" t="s">
        <v>28</v>
      </c>
    </row>
    <row r="535" spans="1:11" x14ac:dyDescent="0.3">
      <c r="A535">
        <v>1533</v>
      </c>
      <c r="B535" s="1">
        <v>46085</v>
      </c>
      <c r="C535" s="3">
        <v>0.51666666666666672</v>
      </c>
      <c r="D535" s="2">
        <f>tb_dados[[#This Row],[Data]]+tb_dados[[#This Row],[Hora]]</f>
        <v>46085.51666666667</v>
      </c>
      <c r="E535" t="s">
        <v>12</v>
      </c>
      <c r="F535" t="s">
        <v>14</v>
      </c>
      <c r="G535" t="s">
        <v>20</v>
      </c>
      <c r="H535" s="4">
        <v>420</v>
      </c>
      <c r="I535" s="5">
        <v>2</v>
      </c>
      <c r="K535" t="s">
        <v>26</v>
      </c>
    </row>
    <row r="536" spans="1:11" x14ac:dyDescent="0.3">
      <c r="A536">
        <v>1534</v>
      </c>
      <c r="B536" s="1">
        <v>46100</v>
      </c>
      <c r="C536" s="3">
        <v>0.58611111111111114</v>
      </c>
      <c r="D536" s="2">
        <f>tb_dados[[#This Row],[Data]]+tb_dados[[#This Row],[Hora]]</f>
        <v>46100.586111111108</v>
      </c>
      <c r="E536" t="s">
        <v>11</v>
      </c>
      <c r="F536" t="s">
        <v>16</v>
      </c>
      <c r="G536" t="s">
        <v>18</v>
      </c>
      <c r="H536" s="4">
        <v>120</v>
      </c>
      <c r="I536" s="5">
        <v>3</v>
      </c>
      <c r="K536" t="s">
        <v>25</v>
      </c>
    </row>
    <row r="537" spans="1:11" x14ac:dyDescent="0.3">
      <c r="A537">
        <v>1535</v>
      </c>
      <c r="B537" s="1">
        <v>46100</v>
      </c>
      <c r="C537" s="3">
        <v>0.65277777777777779</v>
      </c>
      <c r="D537" s="2">
        <f>tb_dados[[#This Row],[Data]]+tb_dados[[#This Row],[Hora]]</f>
        <v>46100.652777777781</v>
      </c>
      <c r="E537" t="s">
        <v>11</v>
      </c>
      <c r="F537" t="s">
        <v>16</v>
      </c>
      <c r="G537" t="s">
        <v>18</v>
      </c>
      <c r="H537" s="4">
        <v>120</v>
      </c>
      <c r="I537" s="5">
        <v>3</v>
      </c>
      <c r="K537" t="s">
        <v>28</v>
      </c>
    </row>
    <row r="538" spans="1:11" x14ac:dyDescent="0.3">
      <c r="A538">
        <v>1536</v>
      </c>
      <c r="B538" s="1">
        <v>46098</v>
      </c>
      <c r="C538" s="3">
        <v>0.9555555555555556</v>
      </c>
      <c r="D538" s="2">
        <f>tb_dados[[#This Row],[Data]]+tb_dados[[#This Row],[Hora]]</f>
        <v>46098.955555555556</v>
      </c>
      <c r="E538" t="s">
        <v>11</v>
      </c>
      <c r="F538" t="s">
        <v>15</v>
      </c>
      <c r="G538" t="s">
        <v>18</v>
      </c>
      <c r="H538" s="4">
        <v>120</v>
      </c>
      <c r="I538" s="5">
        <v>1</v>
      </c>
      <c r="K538" t="s">
        <v>26</v>
      </c>
    </row>
    <row r="539" spans="1:11" x14ac:dyDescent="0.3">
      <c r="A539">
        <v>1537</v>
      </c>
      <c r="B539" s="1">
        <v>46088</v>
      </c>
      <c r="C539" s="3">
        <v>0.74583333333333324</v>
      </c>
      <c r="D539" s="2">
        <f>tb_dados[[#This Row],[Data]]+tb_dados[[#This Row],[Hora]]</f>
        <v>46088.745833333334</v>
      </c>
      <c r="E539" t="s">
        <v>12</v>
      </c>
      <c r="F539" t="s">
        <v>14</v>
      </c>
      <c r="G539" t="s">
        <v>19</v>
      </c>
      <c r="H539" s="4">
        <v>850</v>
      </c>
      <c r="I539" s="5">
        <v>3</v>
      </c>
      <c r="K539" t="s">
        <v>26</v>
      </c>
    </row>
    <row r="540" spans="1:11" x14ac:dyDescent="0.3">
      <c r="A540">
        <v>1538</v>
      </c>
      <c r="B540" s="1">
        <v>46108</v>
      </c>
      <c r="C540" s="3">
        <v>0.51944444444444449</v>
      </c>
      <c r="D540" s="2">
        <f>tb_dados[[#This Row],[Data]]+tb_dados[[#This Row],[Hora]]</f>
        <v>46108.519444444442</v>
      </c>
      <c r="E540" t="s">
        <v>11</v>
      </c>
      <c r="F540" t="s">
        <v>16</v>
      </c>
      <c r="G540" t="s">
        <v>18</v>
      </c>
      <c r="H540" s="4">
        <v>120</v>
      </c>
      <c r="I540" s="5">
        <v>3</v>
      </c>
      <c r="K540" t="s">
        <v>25</v>
      </c>
    </row>
    <row r="541" spans="1:11" x14ac:dyDescent="0.3">
      <c r="A541">
        <v>1539</v>
      </c>
      <c r="B541" s="1">
        <v>46084</v>
      </c>
      <c r="C541" s="3">
        <v>0.55277777777777781</v>
      </c>
      <c r="D541" s="2">
        <f>tb_dados[[#This Row],[Data]]+tb_dados[[#This Row],[Hora]]</f>
        <v>46084.552777777775</v>
      </c>
      <c r="E541" t="s">
        <v>11</v>
      </c>
      <c r="F541" t="s">
        <v>15</v>
      </c>
      <c r="G541" t="s">
        <v>24</v>
      </c>
      <c r="H541" s="4">
        <v>280</v>
      </c>
      <c r="I541" s="5">
        <v>2</v>
      </c>
      <c r="K541" t="s">
        <v>27</v>
      </c>
    </row>
    <row r="542" spans="1:11" x14ac:dyDescent="0.3">
      <c r="A542">
        <v>1540</v>
      </c>
      <c r="B542" s="1">
        <v>46091</v>
      </c>
      <c r="C542" s="3">
        <v>0.6743055555555556</v>
      </c>
      <c r="D542" s="2">
        <f>tb_dados[[#This Row],[Data]]+tb_dados[[#This Row],[Hora]]</f>
        <v>46091.674305555556</v>
      </c>
      <c r="E542" t="s">
        <v>12</v>
      </c>
      <c r="F542" t="s">
        <v>13</v>
      </c>
      <c r="G542" t="s">
        <v>20</v>
      </c>
      <c r="H542" s="4">
        <v>420</v>
      </c>
      <c r="I542" s="5">
        <v>1</v>
      </c>
      <c r="K542" t="s">
        <v>26</v>
      </c>
    </row>
    <row r="543" spans="1:11" x14ac:dyDescent="0.3">
      <c r="A543">
        <v>1541</v>
      </c>
      <c r="B543" s="1">
        <v>46093</v>
      </c>
      <c r="C543" s="3">
        <v>0.3979166666666667</v>
      </c>
      <c r="D543" s="2">
        <f>tb_dados[[#This Row],[Data]]+tb_dados[[#This Row],[Hora]]</f>
        <v>46093.397916666669</v>
      </c>
      <c r="E543" t="s">
        <v>11</v>
      </c>
      <c r="F543" t="s">
        <v>16</v>
      </c>
      <c r="G543" t="s">
        <v>24</v>
      </c>
      <c r="H543" s="4">
        <v>280</v>
      </c>
      <c r="I543" s="5">
        <v>1</v>
      </c>
      <c r="K543" t="s">
        <v>27</v>
      </c>
    </row>
    <row r="544" spans="1:11" x14ac:dyDescent="0.3">
      <c r="A544">
        <v>1542</v>
      </c>
      <c r="B544" s="1">
        <v>46097</v>
      </c>
      <c r="C544" s="3">
        <v>0.63263888888888886</v>
      </c>
      <c r="D544" s="2">
        <f>tb_dados[[#This Row],[Data]]+tb_dados[[#This Row],[Hora]]</f>
        <v>46097.632638888892</v>
      </c>
      <c r="E544" t="s">
        <v>12</v>
      </c>
      <c r="F544" t="s">
        <v>15</v>
      </c>
      <c r="G544" t="s">
        <v>19</v>
      </c>
      <c r="H544" s="4">
        <v>850</v>
      </c>
      <c r="I544" s="5">
        <v>2</v>
      </c>
      <c r="K544" t="s">
        <v>27</v>
      </c>
    </row>
    <row r="545" spans="1:11" x14ac:dyDescent="0.3">
      <c r="A545">
        <v>1543</v>
      </c>
      <c r="B545" s="1">
        <v>46093</v>
      </c>
      <c r="C545" s="3">
        <v>0.3923611111111111</v>
      </c>
      <c r="D545" s="2">
        <f>tb_dados[[#This Row],[Data]]+tb_dados[[#This Row],[Hora]]</f>
        <v>46093.392361111109</v>
      </c>
      <c r="E545" t="s">
        <v>11</v>
      </c>
      <c r="F545" t="s">
        <v>14</v>
      </c>
      <c r="G545" t="s">
        <v>24</v>
      </c>
      <c r="H545" s="4">
        <v>280</v>
      </c>
      <c r="I545" s="5">
        <v>3</v>
      </c>
      <c r="K545" t="s">
        <v>26</v>
      </c>
    </row>
    <row r="546" spans="1:11" x14ac:dyDescent="0.3">
      <c r="A546">
        <v>1544</v>
      </c>
      <c r="B546" s="1">
        <v>46085</v>
      </c>
      <c r="C546" s="3">
        <v>0.45902777777777781</v>
      </c>
      <c r="D546" s="2">
        <f>tb_dados[[#This Row],[Data]]+tb_dados[[#This Row],[Hora]]</f>
        <v>46085.459027777775</v>
      </c>
      <c r="E546" t="s">
        <v>11</v>
      </c>
      <c r="F546" t="s">
        <v>14</v>
      </c>
      <c r="G546" t="s">
        <v>24</v>
      </c>
      <c r="H546" s="4">
        <v>280</v>
      </c>
      <c r="I546" s="5">
        <v>2</v>
      </c>
      <c r="K546" t="s">
        <v>27</v>
      </c>
    </row>
    <row r="547" spans="1:11" x14ac:dyDescent="0.3">
      <c r="A547">
        <v>1545</v>
      </c>
      <c r="B547" s="1">
        <v>46083</v>
      </c>
      <c r="C547" s="3">
        <v>0.4826388888888889</v>
      </c>
      <c r="D547" s="2">
        <f>tb_dados[[#This Row],[Data]]+tb_dados[[#This Row],[Hora]]</f>
        <v>46083.482638888891</v>
      </c>
      <c r="E547" t="s">
        <v>12</v>
      </c>
      <c r="F547" t="s">
        <v>15</v>
      </c>
      <c r="G547" t="s">
        <v>19</v>
      </c>
      <c r="H547" s="4">
        <v>850</v>
      </c>
      <c r="I547" s="5">
        <v>2</v>
      </c>
      <c r="K547" t="s">
        <v>25</v>
      </c>
    </row>
    <row r="548" spans="1:11" x14ac:dyDescent="0.3">
      <c r="A548">
        <v>1546</v>
      </c>
      <c r="B548" s="1">
        <v>46079</v>
      </c>
      <c r="C548" s="3">
        <v>0.73958333333333337</v>
      </c>
      <c r="D548" s="2">
        <f>tb_dados[[#This Row],[Data]]+tb_dados[[#This Row],[Hora]]</f>
        <v>46079.739583333336</v>
      </c>
      <c r="E548" t="s">
        <v>12</v>
      </c>
      <c r="F548" t="s">
        <v>16</v>
      </c>
      <c r="G548" t="s">
        <v>19</v>
      </c>
      <c r="H548" s="4">
        <v>850</v>
      </c>
      <c r="I548" s="5">
        <v>3</v>
      </c>
      <c r="K548" t="s">
        <v>25</v>
      </c>
    </row>
    <row r="549" spans="1:11" x14ac:dyDescent="0.3">
      <c r="A549">
        <v>1547</v>
      </c>
      <c r="B549" s="1">
        <v>46108</v>
      </c>
      <c r="C549" s="3">
        <v>0.88611111111111107</v>
      </c>
      <c r="D549" s="2">
        <f>tb_dados[[#This Row],[Data]]+tb_dados[[#This Row],[Hora]]</f>
        <v>46108.886111111111</v>
      </c>
      <c r="E549" t="s">
        <v>12</v>
      </c>
      <c r="F549" t="s">
        <v>16</v>
      </c>
      <c r="G549" t="s">
        <v>20</v>
      </c>
      <c r="H549" s="4">
        <v>420</v>
      </c>
      <c r="I549" s="5">
        <v>1</v>
      </c>
      <c r="K549" t="s">
        <v>27</v>
      </c>
    </row>
    <row r="550" spans="1:11" x14ac:dyDescent="0.3">
      <c r="A550">
        <v>1548</v>
      </c>
      <c r="B550" s="1">
        <v>46094</v>
      </c>
      <c r="C550" s="3">
        <v>0.72222222222222221</v>
      </c>
      <c r="D550" s="2">
        <f>tb_dados[[#This Row],[Data]]+tb_dados[[#This Row],[Hora]]</f>
        <v>46094.722222222219</v>
      </c>
      <c r="E550" t="s">
        <v>10</v>
      </c>
      <c r="F550" t="s">
        <v>14</v>
      </c>
      <c r="G550" t="s">
        <v>22</v>
      </c>
      <c r="H550" s="4">
        <v>2100</v>
      </c>
      <c r="I550" s="5">
        <v>1</v>
      </c>
      <c r="K550" t="s">
        <v>26</v>
      </c>
    </row>
    <row r="551" spans="1:11" x14ac:dyDescent="0.3">
      <c r="A551">
        <v>1549</v>
      </c>
      <c r="B551" s="1">
        <v>46101</v>
      </c>
      <c r="C551" s="3">
        <v>0.62777777777777777</v>
      </c>
      <c r="D551" s="2">
        <f>tb_dados[[#This Row],[Data]]+tb_dados[[#This Row],[Hora]]</f>
        <v>46101.62777777778</v>
      </c>
      <c r="E551" t="s">
        <v>10</v>
      </c>
      <c r="F551" t="s">
        <v>15</v>
      </c>
      <c r="G551" t="s">
        <v>23</v>
      </c>
      <c r="H551" s="4">
        <v>4500</v>
      </c>
      <c r="I551" s="5">
        <v>1</v>
      </c>
      <c r="K551" t="s">
        <v>26</v>
      </c>
    </row>
    <row r="552" spans="1:11" x14ac:dyDescent="0.3">
      <c r="A552">
        <v>1550</v>
      </c>
      <c r="B552" s="1">
        <v>46096</v>
      </c>
      <c r="C552" s="3">
        <v>0.92361111111111116</v>
      </c>
      <c r="D552" s="2">
        <f>tb_dados[[#This Row],[Data]]+tb_dados[[#This Row],[Hora]]</f>
        <v>46096.923611111109</v>
      </c>
      <c r="E552" t="s">
        <v>10</v>
      </c>
      <c r="F552" t="s">
        <v>15</v>
      </c>
      <c r="G552" t="s">
        <v>23</v>
      </c>
      <c r="H552" s="4">
        <v>4500</v>
      </c>
      <c r="I552" s="5">
        <v>1</v>
      </c>
      <c r="K552" t="s">
        <v>25</v>
      </c>
    </row>
    <row r="553" spans="1:11" x14ac:dyDescent="0.3">
      <c r="A553">
        <v>1551</v>
      </c>
      <c r="B553" s="1">
        <v>46086</v>
      </c>
      <c r="C553" s="3">
        <v>0.91249999999999998</v>
      </c>
      <c r="D553" s="2">
        <f>tb_dados[[#This Row],[Data]]+tb_dados[[#This Row],[Hora]]</f>
        <v>46086.912499999999</v>
      </c>
      <c r="E553" t="s">
        <v>10</v>
      </c>
      <c r="F553" t="s">
        <v>13</v>
      </c>
      <c r="G553" t="s">
        <v>23</v>
      </c>
      <c r="H553" s="4">
        <v>4500</v>
      </c>
      <c r="I553" s="5">
        <v>1</v>
      </c>
      <c r="K553" t="s">
        <v>26</v>
      </c>
    </row>
    <row r="554" spans="1:11" x14ac:dyDescent="0.3">
      <c r="A554">
        <v>1552</v>
      </c>
      <c r="B554" s="1">
        <v>46092</v>
      </c>
      <c r="C554" s="3">
        <v>0.53819444444444442</v>
      </c>
      <c r="D554" s="2">
        <f>tb_dados[[#This Row],[Data]]+tb_dados[[#This Row],[Hora]]</f>
        <v>46092.538194444445</v>
      </c>
      <c r="E554" t="s">
        <v>12</v>
      </c>
      <c r="F554" t="s">
        <v>15</v>
      </c>
      <c r="G554" t="s">
        <v>19</v>
      </c>
      <c r="H554" s="4">
        <v>850</v>
      </c>
      <c r="I554" s="5">
        <v>1</v>
      </c>
      <c r="K554" t="s">
        <v>25</v>
      </c>
    </row>
    <row r="555" spans="1:11" x14ac:dyDescent="0.3">
      <c r="A555">
        <v>1553</v>
      </c>
      <c r="B555" s="1">
        <v>46102</v>
      </c>
      <c r="C555" s="3">
        <v>0.79375000000000007</v>
      </c>
      <c r="D555" s="2">
        <f>tb_dados[[#This Row],[Data]]+tb_dados[[#This Row],[Hora]]</f>
        <v>46102.793749999997</v>
      </c>
      <c r="E555" t="s">
        <v>12</v>
      </c>
      <c r="F555" t="s">
        <v>15</v>
      </c>
      <c r="G555" t="s">
        <v>19</v>
      </c>
      <c r="H555" s="4">
        <v>850</v>
      </c>
      <c r="I555" s="5">
        <v>2</v>
      </c>
      <c r="K555" t="s">
        <v>26</v>
      </c>
    </row>
    <row r="556" spans="1:11" x14ac:dyDescent="0.3">
      <c r="A556">
        <v>1554</v>
      </c>
      <c r="B556" s="1">
        <v>46101</v>
      </c>
      <c r="C556" s="3">
        <v>0.75763888888888886</v>
      </c>
      <c r="D556" s="2">
        <f>tb_dados[[#This Row],[Data]]+tb_dados[[#This Row],[Hora]]</f>
        <v>46101.757638888892</v>
      </c>
      <c r="E556" t="s">
        <v>10</v>
      </c>
      <c r="F556" t="s">
        <v>16</v>
      </c>
      <c r="G556" t="s">
        <v>23</v>
      </c>
      <c r="H556" s="4">
        <v>4500</v>
      </c>
      <c r="I556" s="5">
        <v>2</v>
      </c>
      <c r="K556" t="s">
        <v>28</v>
      </c>
    </row>
    <row r="557" spans="1:11" x14ac:dyDescent="0.3">
      <c r="A557">
        <v>1555</v>
      </c>
      <c r="B557" s="1">
        <v>46099</v>
      </c>
      <c r="C557" s="3">
        <v>0.41597222222222219</v>
      </c>
      <c r="D557" s="2">
        <f>tb_dados[[#This Row],[Data]]+tb_dados[[#This Row],[Hora]]</f>
        <v>46099.415972222225</v>
      </c>
      <c r="E557" t="s">
        <v>12</v>
      </c>
      <c r="F557" t="s">
        <v>16</v>
      </c>
      <c r="G557" t="s">
        <v>20</v>
      </c>
      <c r="H557" s="4">
        <v>420</v>
      </c>
      <c r="I557" s="5">
        <v>1</v>
      </c>
      <c r="K557" t="s">
        <v>28</v>
      </c>
    </row>
    <row r="558" spans="1:11" x14ac:dyDescent="0.3">
      <c r="A558">
        <v>1556</v>
      </c>
      <c r="B558" s="1">
        <v>46088</v>
      </c>
      <c r="C558" s="3">
        <v>0.8965277777777777</v>
      </c>
      <c r="D558" s="2">
        <f>tb_dados[[#This Row],[Data]]+tb_dados[[#This Row],[Hora]]</f>
        <v>46088.896527777775</v>
      </c>
      <c r="E558" t="s">
        <v>11</v>
      </c>
      <c r="F558" t="s">
        <v>13</v>
      </c>
      <c r="G558" t="s">
        <v>18</v>
      </c>
      <c r="H558" s="4">
        <v>120</v>
      </c>
      <c r="I558" s="5">
        <v>2</v>
      </c>
      <c r="K558" t="s">
        <v>26</v>
      </c>
    </row>
    <row r="559" spans="1:11" x14ac:dyDescent="0.3">
      <c r="A559">
        <v>1557</v>
      </c>
      <c r="B559" s="1">
        <v>46083</v>
      </c>
      <c r="C559" s="3">
        <v>0.45208333333333334</v>
      </c>
      <c r="D559" s="2">
        <f>tb_dados[[#This Row],[Data]]+tb_dados[[#This Row],[Hora]]</f>
        <v>46083.45208333333</v>
      </c>
      <c r="E559" t="s">
        <v>12</v>
      </c>
      <c r="F559" t="s">
        <v>14</v>
      </c>
      <c r="G559" t="s">
        <v>19</v>
      </c>
      <c r="H559" s="4">
        <v>850</v>
      </c>
      <c r="I559" s="5">
        <v>2</v>
      </c>
      <c r="K559" t="s">
        <v>27</v>
      </c>
    </row>
    <row r="560" spans="1:11" x14ac:dyDescent="0.3">
      <c r="A560">
        <v>1558</v>
      </c>
      <c r="B560" s="1">
        <v>46084</v>
      </c>
      <c r="C560" s="3">
        <v>0.90972222222222221</v>
      </c>
      <c r="D560" s="2">
        <f>tb_dados[[#This Row],[Data]]+tb_dados[[#This Row],[Hora]]</f>
        <v>46084.909722222219</v>
      </c>
      <c r="E560" t="s">
        <v>10</v>
      </c>
      <c r="F560" t="s">
        <v>16</v>
      </c>
      <c r="G560" t="s">
        <v>22</v>
      </c>
      <c r="H560" s="4">
        <v>2100</v>
      </c>
      <c r="I560" s="5">
        <v>2</v>
      </c>
      <c r="K560" t="s">
        <v>25</v>
      </c>
    </row>
    <row r="561" spans="1:11" x14ac:dyDescent="0.3">
      <c r="A561">
        <v>1559</v>
      </c>
      <c r="B561" s="1">
        <v>46100</v>
      </c>
      <c r="C561" s="3">
        <v>0.89374999999999993</v>
      </c>
      <c r="D561" s="2">
        <f>tb_dados[[#This Row],[Data]]+tb_dados[[#This Row],[Hora]]</f>
        <v>46100.893750000003</v>
      </c>
      <c r="E561" t="s">
        <v>11</v>
      </c>
      <c r="F561" t="s">
        <v>16</v>
      </c>
      <c r="G561" t="s">
        <v>18</v>
      </c>
      <c r="H561" s="4">
        <v>120</v>
      </c>
      <c r="I561" s="5">
        <v>2</v>
      </c>
      <c r="K561" t="s">
        <v>27</v>
      </c>
    </row>
    <row r="562" spans="1:11" x14ac:dyDescent="0.3">
      <c r="A562">
        <v>1560</v>
      </c>
      <c r="B562" s="1">
        <v>46101</v>
      </c>
      <c r="C562" s="3">
        <v>0.52013888888888882</v>
      </c>
      <c r="D562" s="2">
        <f>tb_dados[[#This Row],[Data]]+tb_dados[[#This Row],[Hora]]</f>
        <v>46101.520138888889</v>
      </c>
      <c r="E562" t="s">
        <v>10</v>
      </c>
      <c r="F562" t="s">
        <v>13</v>
      </c>
      <c r="G562" t="s">
        <v>23</v>
      </c>
      <c r="H562" s="4">
        <v>4500</v>
      </c>
      <c r="I562" s="5">
        <v>2</v>
      </c>
      <c r="K562" t="s">
        <v>26</v>
      </c>
    </row>
    <row r="563" spans="1:11" x14ac:dyDescent="0.3">
      <c r="A563">
        <v>1561</v>
      </c>
      <c r="B563" s="1">
        <v>46083</v>
      </c>
      <c r="C563" s="3">
        <v>0.53194444444444444</v>
      </c>
      <c r="D563" s="2">
        <f>tb_dados[[#This Row],[Data]]+tb_dados[[#This Row],[Hora]]</f>
        <v>46083.531944444447</v>
      </c>
      <c r="E563" t="s">
        <v>11</v>
      </c>
      <c r="F563" t="s">
        <v>14</v>
      </c>
      <c r="G563" t="s">
        <v>21</v>
      </c>
      <c r="H563" s="4">
        <v>350</v>
      </c>
      <c r="I563" s="5">
        <v>1</v>
      </c>
      <c r="K563" t="s">
        <v>28</v>
      </c>
    </row>
    <row r="564" spans="1:11" x14ac:dyDescent="0.3">
      <c r="A564">
        <v>1562</v>
      </c>
      <c r="B564" s="1">
        <v>46095</v>
      </c>
      <c r="C564" s="3">
        <v>0.89513888888888893</v>
      </c>
      <c r="D564" s="2">
        <f>tb_dados[[#This Row],[Data]]+tb_dados[[#This Row],[Hora]]</f>
        <v>46095.895138888889</v>
      </c>
      <c r="E564" t="s">
        <v>12</v>
      </c>
      <c r="F564" t="s">
        <v>14</v>
      </c>
      <c r="G564" t="s">
        <v>19</v>
      </c>
      <c r="H564" s="4">
        <v>850</v>
      </c>
      <c r="I564" s="5">
        <v>3</v>
      </c>
      <c r="K564" t="s">
        <v>28</v>
      </c>
    </row>
    <row r="565" spans="1:11" x14ac:dyDescent="0.3">
      <c r="A565">
        <v>1563</v>
      </c>
      <c r="B565" s="1">
        <v>46091</v>
      </c>
      <c r="C565" s="3">
        <v>0.91527777777777775</v>
      </c>
      <c r="D565" s="2">
        <f>tb_dados[[#This Row],[Data]]+tb_dados[[#This Row],[Hora]]</f>
        <v>46091.915277777778</v>
      </c>
      <c r="E565" t="s">
        <v>12</v>
      </c>
      <c r="F565" t="s">
        <v>16</v>
      </c>
      <c r="G565" t="s">
        <v>19</v>
      </c>
      <c r="H565" s="4">
        <v>850</v>
      </c>
      <c r="I565" s="5">
        <v>3</v>
      </c>
      <c r="K565" t="s">
        <v>28</v>
      </c>
    </row>
    <row r="566" spans="1:11" x14ac:dyDescent="0.3">
      <c r="A566">
        <v>1564</v>
      </c>
      <c r="B566" s="1">
        <v>46084</v>
      </c>
      <c r="C566" s="3">
        <v>0.54166666666666663</v>
      </c>
      <c r="D566" s="2">
        <f>tb_dados[[#This Row],[Data]]+tb_dados[[#This Row],[Hora]]</f>
        <v>46084.541666666664</v>
      </c>
      <c r="E566" t="s">
        <v>12</v>
      </c>
      <c r="F566" t="s">
        <v>13</v>
      </c>
      <c r="G566" t="s">
        <v>20</v>
      </c>
      <c r="H566" s="4">
        <v>420</v>
      </c>
      <c r="I566" s="5">
        <v>3</v>
      </c>
      <c r="K566" t="s">
        <v>28</v>
      </c>
    </row>
    <row r="567" spans="1:11" x14ac:dyDescent="0.3">
      <c r="A567">
        <v>1565</v>
      </c>
      <c r="B567" s="1">
        <v>46108</v>
      </c>
      <c r="C567" s="3">
        <v>0.3756944444444445</v>
      </c>
      <c r="D567" s="2">
        <f>tb_dados[[#This Row],[Data]]+tb_dados[[#This Row],[Hora]]</f>
        <v>46108.375694444447</v>
      </c>
      <c r="E567" t="s">
        <v>12</v>
      </c>
      <c r="F567" t="s">
        <v>15</v>
      </c>
      <c r="G567" t="s">
        <v>19</v>
      </c>
      <c r="H567" s="4">
        <v>850</v>
      </c>
      <c r="I567" s="5">
        <v>2</v>
      </c>
      <c r="K567" t="s">
        <v>27</v>
      </c>
    </row>
    <row r="568" spans="1:11" x14ac:dyDescent="0.3">
      <c r="A568">
        <v>1566</v>
      </c>
      <c r="B568" s="1">
        <v>46090</v>
      </c>
      <c r="C568" s="3">
        <v>0.68055555555555547</v>
      </c>
      <c r="D568" s="2">
        <f>tb_dados[[#This Row],[Data]]+tb_dados[[#This Row],[Hora]]</f>
        <v>46090.680555555555</v>
      </c>
      <c r="E568" t="s">
        <v>10</v>
      </c>
      <c r="F568" t="s">
        <v>13</v>
      </c>
      <c r="G568" t="s">
        <v>23</v>
      </c>
      <c r="H568" s="4">
        <v>4500</v>
      </c>
      <c r="I568" s="5">
        <v>1</v>
      </c>
      <c r="K568" t="s">
        <v>27</v>
      </c>
    </row>
    <row r="569" spans="1:11" x14ac:dyDescent="0.3">
      <c r="A569">
        <v>1567</v>
      </c>
      <c r="B569" s="1">
        <v>46102</v>
      </c>
      <c r="C569" s="3">
        <v>0.7368055555555556</v>
      </c>
      <c r="D569" s="2">
        <f>tb_dados[[#This Row],[Data]]+tb_dados[[#This Row],[Hora]]</f>
        <v>46102.736805555556</v>
      </c>
      <c r="E569" t="s">
        <v>10</v>
      </c>
      <c r="F569" t="s">
        <v>15</v>
      </c>
      <c r="G569" t="s">
        <v>22</v>
      </c>
      <c r="H569" s="4">
        <v>2100</v>
      </c>
      <c r="I569" s="5">
        <v>2</v>
      </c>
      <c r="K569" t="s">
        <v>27</v>
      </c>
    </row>
    <row r="570" spans="1:11" x14ac:dyDescent="0.3">
      <c r="A570">
        <v>1568</v>
      </c>
      <c r="B570" s="1">
        <v>46082</v>
      </c>
      <c r="C570" s="3">
        <v>0.7597222222222223</v>
      </c>
      <c r="D570" s="2">
        <f>tb_dados[[#This Row],[Data]]+tb_dados[[#This Row],[Hora]]</f>
        <v>46082.759722222225</v>
      </c>
      <c r="E570" t="s">
        <v>11</v>
      </c>
      <c r="F570" t="s">
        <v>15</v>
      </c>
      <c r="G570" t="s">
        <v>24</v>
      </c>
      <c r="H570" s="4">
        <v>280</v>
      </c>
      <c r="I570" s="5">
        <v>3</v>
      </c>
      <c r="K570" t="s">
        <v>26</v>
      </c>
    </row>
    <row r="571" spans="1:11" x14ac:dyDescent="0.3">
      <c r="A571">
        <v>1569</v>
      </c>
      <c r="B571" s="1">
        <v>46105</v>
      </c>
      <c r="C571" s="3">
        <v>0.38819444444444445</v>
      </c>
      <c r="D571" s="2">
        <f>tb_dados[[#This Row],[Data]]+tb_dados[[#This Row],[Hora]]</f>
        <v>46105.388194444444</v>
      </c>
      <c r="E571" t="s">
        <v>12</v>
      </c>
      <c r="F571" t="s">
        <v>14</v>
      </c>
      <c r="G571" t="s">
        <v>20</v>
      </c>
      <c r="H571" s="4">
        <v>420</v>
      </c>
      <c r="I571" s="5">
        <v>1</v>
      </c>
      <c r="K571" t="s">
        <v>27</v>
      </c>
    </row>
    <row r="572" spans="1:11" x14ac:dyDescent="0.3">
      <c r="A572">
        <v>1570</v>
      </c>
      <c r="B572" s="1">
        <v>46095</v>
      </c>
      <c r="C572" s="3">
        <v>0.61736111111111114</v>
      </c>
      <c r="D572" s="2">
        <f>tb_dados[[#This Row],[Data]]+tb_dados[[#This Row],[Hora]]</f>
        <v>46095.617361111108</v>
      </c>
      <c r="E572" t="s">
        <v>10</v>
      </c>
      <c r="F572" t="s">
        <v>13</v>
      </c>
      <c r="G572" t="s">
        <v>23</v>
      </c>
      <c r="H572" s="4">
        <v>4500</v>
      </c>
      <c r="I572" s="5">
        <v>1</v>
      </c>
      <c r="K572" t="s">
        <v>28</v>
      </c>
    </row>
    <row r="573" spans="1:11" x14ac:dyDescent="0.3">
      <c r="A573">
        <v>1571</v>
      </c>
      <c r="B573" s="1">
        <v>46095</v>
      </c>
      <c r="C573" s="3">
        <v>0.74583333333333324</v>
      </c>
      <c r="D573" s="2">
        <f>tb_dados[[#This Row],[Data]]+tb_dados[[#This Row],[Hora]]</f>
        <v>46095.745833333334</v>
      </c>
      <c r="E573" t="s">
        <v>12</v>
      </c>
      <c r="F573" t="s">
        <v>14</v>
      </c>
      <c r="G573" t="s">
        <v>19</v>
      </c>
      <c r="H573" s="4">
        <v>850</v>
      </c>
      <c r="I573" s="5">
        <v>2</v>
      </c>
      <c r="K573" t="s">
        <v>26</v>
      </c>
    </row>
    <row r="574" spans="1:11" x14ac:dyDescent="0.3">
      <c r="A574">
        <v>1572</v>
      </c>
      <c r="B574" s="1">
        <v>46108</v>
      </c>
      <c r="C574" s="3">
        <v>0.62083333333333335</v>
      </c>
      <c r="D574" s="2">
        <f>tb_dados[[#This Row],[Data]]+tb_dados[[#This Row],[Hora]]</f>
        <v>46108.620833333334</v>
      </c>
      <c r="E574" t="s">
        <v>10</v>
      </c>
      <c r="F574" t="s">
        <v>16</v>
      </c>
      <c r="G574" t="s">
        <v>17</v>
      </c>
      <c r="H574" s="4">
        <v>900</v>
      </c>
      <c r="I574" s="5">
        <v>1</v>
      </c>
      <c r="K574" t="s">
        <v>26</v>
      </c>
    </row>
    <row r="575" spans="1:11" x14ac:dyDescent="0.3">
      <c r="A575">
        <v>1573</v>
      </c>
      <c r="B575" s="1">
        <v>46082</v>
      </c>
      <c r="C575" s="3">
        <v>0.7416666666666667</v>
      </c>
      <c r="D575" s="2">
        <f>tb_dados[[#This Row],[Data]]+tb_dados[[#This Row],[Hora]]</f>
        <v>46082.741666666669</v>
      </c>
      <c r="E575" t="s">
        <v>10</v>
      </c>
      <c r="F575" t="s">
        <v>13</v>
      </c>
      <c r="G575" t="s">
        <v>23</v>
      </c>
      <c r="H575" s="4">
        <v>4500</v>
      </c>
      <c r="I575" s="5">
        <v>1</v>
      </c>
      <c r="K575" t="s">
        <v>25</v>
      </c>
    </row>
    <row r="576" spans="1:11" x14ac:dyDescent="0.3">
      <c r="A576">
        <v>1574</v>
      </c>
      <c r="B576" s="1">
        <v>46090</v>
      </c>
      <c r="C576" s="3">
        <v>0.69027777777777777</v>
      </c>
      <c r="D576" s="2">
        <f>tb_dados[[#This Row],[Data]]+tb_dados[[#This Row],[Hora]]</f>
        <v>46090.69027777778</v>
      </c>
      <c r="E576" t="s">
        <v>12</v>
      </c>
      <c r="F576" t="s">
        <v>16</v>
      </c>
      <c r="G576" t="s">
        <v>20</v>
      </c>
      <c r="H576" s="4">
        <v>420</v>
      </c>
      <c r="I576" s="5">
        <v>2</v>
      </c>
      <c r="K576" t="s">
        <v>26</v>
      </c>
    </row>
    <row r="577" spans="1:11" x14ac:dyDescent="0.3">
      <c r="A577">
        <v>1575</v>
      </c>
      <c r="B577" s="1">
        <v>46105</v>
      </c>
      <c r="C577" s="3">
        <v>0.6166666666666667</v>
      </c>
      <c r="D577" s="2">
        <f>tb_dados[[#This Row],[Data]]+tb_dados[[#This Row],[Hora]]</f>
        <v>46105.616666666669</v>
      </c>
      <c r="E577" t="s">
        <v>10</v>
      </c>
      <c r="F577" t="s">
        <v>13</v>
      </c>
      <c r="G577" t="s">
        <v>22</v>
      </c>
      <c r="H577" s="4">
        <v>2100</v>
      </c>
      <c r="I577" s="5">
        <v>1</v>
      </c>
      <c r="K577" t="s">
        <v>28</v>
      </c>
    </row>
    <row r="578" spans="1:11" x14ac:dyDescent="0.3">
      <c r="A578">
        <v>1576</v>
      </c>
      <c r="B578" s="1">
        <v>46096</v>
      </c>
      <c r="C578" s="3">
        <v>0.87152777777777779</v>
      </c>
      <c r="D578" s="2">
        <f>tb_dados[[#This Row],[Data]]+tb_dados[[#This Row],[Hora]]</f>
        <v>46096.871527777781</v>
      </c>
      <c r="E578" t="s">
        <v>10</v>
      </c>
      <c r="F578" t="s">
        <v>14</v>
      </c>
      <c r="G578" t="s">
        <v>22</v>
      </c>
      <c r="H578" s="4">
        <v>2100</v>
      </c>
      <c r="I578" s="5">
        <v>2</v>
      </c>
      <c r="K578" t="s">
        <v>28</v>
      </c>
    </row>
    <row r="579" spans="1:11" x14ac:dyDescent="0.3">
      <c r="A579">
        <v>1577</v>
      </c>
      <c r="B579" s="1">
        <v>46086</v>
      </c>
      <c r="C579" s="3">
        <v>0.7909722222222223</v>
      </c>
      <c r="D579" s="2">
        <f>tb_dados[[#This Row],[Data]]+tb_dados[[#This Row],[Hora]]</f>
        <v>46086.790972222225</v>
      </c>
      <c r="E579" t="s">
        <v>10</v>
      </c>
      <c r="F579" t="s">
        <v>14</v>
      </c>
      <c r="G579" t="s">
        <v>23</v>
      </c>
      <c r="H579" s="4">
        <v>4500</v>
      </c>
      <c r="I579" s="5">
        <v>1</v>
      </c>
      <c r="K579" t="s">
        <v>26</v>
      </c>
    </row>
    <row r="580" spans="1:11" x14ac:dyDescent="0.3">
      <c r="A580">
        <v>1578</v>
      </c>
      <c r="B580" s="1">
        <v>46102</v>
      </c>
      <c r="C580" s="3">
        <v>0.65347222222222223</v>
      </c>
      <c r="D580" s="2">
        <f>tb_dados[[#This Row],[Data]]+tb_dados[[#This Row],[Hora]]</f>
        <v>46102.65347222222</v>
      </c>
      <c r="E580" t="s">
        <v>11</v>
      </c>
      <c r="F580" t="s">
        <v>13</v>
      </c>
      <c r="G580" t="s">
        <v>21</v>
      </c>
      <c r="H580" s="4">
        <v>350</v>
      </c>
      <c r="I580" s="5">
        <v>3</v>
      </c>
      <c r="K580" t="s">
        <v>25</v>
      </c>
    </row>
    <row r="581" spans="1:11" x14ac:dyDescent="0.3">
      <c r="A581">
        <v>1579</v>
      </c>
      <c r="B581" s="1">
        <v>46096</v>
      </c>
      <c r="C581" s="3">
        <v>0.75555555555555554</v>
      </c>
      <c r="D581" s="2">
        <f>tb_dados[[#This Row],[Data]]+tb_dados[[#This Row],[Hora]]</f>
        <v>46096.755555555559</v>
      </c>
      <c r="E581" t="s">
        <v>11</v>
      </c>
      <c r="F581" t="s">
        <v>13</v>
      </c>
      <c r="G581" t="s">
        <v>21</v>
      </c>
      <c r="H581" s="4">
        <v>350</v>
      </c>
      <c r="I581" s="5">
        <v>1</v>
      </c>
      <c r="K581" t="s">
        <v>25</v>
      </c>
    </row>
    <row r="582" spans="1:11" x14ac:dyDescent="0.3">
      <c r="A582">
        <v>1580</v>
      </c>
      <c r="B582" s="1">
        <v>46104</v>
      </c>
      <c r="C582" s="3">
        <v>0.86041666666666661</v>
      </c>
      <c r="D582" s="2">
        <f>tb_dados[[#This Row],[Data]]+tb_dados[[#This Row],[Hora]]</f>
        <v>46104.86041666667</v>
      </c>
      <c r="E582" t="s">
        <v>12</v>
      </c>
      <c r="F582" t="s">
        <v>13</v>
      </c>
      <c r="G582" t="s">
        <v>20</v>
      </c>
      <c r="H582" s="4">
        <v>420</v>
      </c>
      <c r="I582" s="5">
        <v>3</v>
      </c>
      <c r="K582" t="s">
        <v>27</v>
      </c>
    </row>
    <row r="583" spans="1:11" x14ac:dyDescent="0.3">
      <c r="A583">
        <v>1581</v>
      </c>
      <c r="B583" s="1">
        <v>46104</v>
      </c>
      <c r="C583" s="3">
        <v>0.54513888888888895</v>
      </c>
      <c r="D583" s="2">
        <f>tb_dados[[#This Row],[Data]]+tb_dados[[#This Row],[Hora]]</f>
        <v>46104.545138888891</v>
      </c>
      <c r="E583" t="s">
        <v>10</v>
      </c>
      <c r="F583" t="s">
        <v>15</v>
      </c>
      <c r="G583" t="s">
        <v>23</v>
      </c>
      <c r="H583" s="4">
        <v>4500</v>
      </c>
      <c r="I583" s="5">
        <v>1</v>
      </c>
      <c r="K583" t="s">
        <v>25</v>
      </c>
    </row>
    <row r="584" spans="1:11" x14ac:dyDescent="0.3">
      <c r="A584">
        <v>1582</v>
      </c>
      <c r="B584" s="1">
        <v>46103</v>
      </c>
      <c r="C584" s="3">
        <v>0.59513888888888888</v>
      </c>
      <c r="D584" s="2">
        <f>tb_dados[[#This Row],[Data]]+tb_dados[[#This Row],[Hora]]</f>
        <v>46103.595138888886</v>
      </c>
      <c r="E584" t="s">
        <v>12</v>
      </c>
      <c r="F584" t="s">
        <v>14</v>
      </c>
      <c r="G584" t="s">
        <v>19</v>
      </c>
      <c r="H584" s="4">
        <v>850</v>
      </c>
      <c r="I584" s="5">
        <v>2</v>
      </c>
      <c r="K584" t="s">
        <v>27</v>
      </c>
    </row>
    <row r="585" spans="1:11" x14ac:dyDescent="0.3">
      <c r="A585">
        <v>1583</v>
      </c>
      <c r="B585" s="1">
        <v>46103</v>
      </c>
      <c r="C585" s="3">
        <v>0.89444444444444438</v>
      </c>
      <c r="D585" s="2">
        <f>tb_dados[[#This Row],[Data]]+tb_dados[[#This Row],[Hora]]</f>
        <v>46103.894444444442</v>
      </c>
      <c r="E585" t="s">
        <v>11</v>
      </c>
      <c r="F585" t="s">
        <v>16</v>
      </c>
      <c r="G585" t="s">
        <v>21</v>
      </c>
      <c r="H585" s="4">
        <v>350</v>
      </c>
      <c r="I585" s="5">
        <v>1</v>
      </c>
      <c r="K585" t="s">
        <v>28</v>
      </c>
    </row>
    <row r="586" spans="1:11" x14ac:dyDescent="0.3">
      <c r="A586">
        <v>1584</v>
      </c>
      <c r="B586" s="1">
        <v>46094</v>
      </c>
      <c r="C586" s="3">
        <v>0.83819444444444446</v>
      </c>
      <c r="D586" s="2">
        <f>tb_dados[[#This Row],[Data]]+tb_dados[[#This Row],[Hora]]</f>
        <v>46094.838194444441</v>
      </c>
      <c r="E586" t="s">
        <v>10</v>
      </c>
      <c r="F586" t="s">
        <v>16</v>
      </c>
      <c r="G586" t="s">
        <v>23</v>
      </c>
      <c r="H586" s="4">
        <v>4500</v>
      </c>
      <c r="I586" s="5">
        <v>2</v>
      </c>
      <c r="K586" t="s">
        <v>28</v>
      </c>
    </row>
    <row r="587" spans="1:11" x14ac:dyDescent="0.3">
      <c r="A587">
        <v>1585</v>
      </c>
      <c r="B587" s="1">
        <v>46100</v>
      </c>
      <c r="C587" s="3">
        <v>0.81597222222222221</v>
      </c>
      <c r="D587" s="2">
        <f>tb_dados[[#This Row],[Data]]+tb_dados[[#This Row],[Hora]]</f>
        <v>46100.815972222219</v>
      </c>
      <c r="E587" t="s">
        <v>11</v>
      </c>
      <c r="F587" t="s">
        <v>13</v>
      </c>
      <c r="G587" t="s">
        <v>18</v>
      </c>
      <c r="H587" s="4">
        <v>120</v>
      </c>
      <c r="I587" s="5">
        <v>2</v>
      </c>
      <c r="K587" t="s">
        <v>27</v>
      </c>
    </row>
    <row r="588" spans="1:11" x14ac:dyDescent="0.3">
      <c r="A588">
        <v>1586</v>
      </c>
      <c r="B588" s="1">
        <v>46084</v>
      </c>
      <c r="C588" s="3">
        <v>0.63750000000000007</v>
      </c>
      <c r="D588" s="2">
        <f>tb_dados[[#This Row],[Data]]+tb_dados[[#This Row],[Hora]]</f>
        <v>46084.637499999997</v>
      </c>
      <c r="E588" t="s">
        <v>11</v>
      </c>
      <c r="F588" t="s">
        <v>15</v>
      </c>
      <c r="G588" t="s">
        <v>24</v>
      </c>
      <c r="H588" s="4">
        <v>280</v>
      </c>
      <c r="I588" s="5">
        <v>2</v>
      </c>
      <c r="K588" t="s">
        <v>28</v>
      </c>
    </row>
    <row r="589" spans="1:11" x14ac:dyDescent="0.3">
      <c r="A589">
        <v>1587</v>
      </c>
      <c r="B589" s="1">
        <v>46099</v>
      </c>
      <c r="C589" s="3">
        <v>0.64097222222222217</v>
      </c>
      <c r="D589" s="2">
        <f>tb_dados[[#This Row],[Data]]+tb_dados[[#This Row],[Hora]]</f>
        <v>46099.640972222223</v>
      </c>
      <c r="E589" t="s">
        <v>12</v>
      </c>
      <c r="F589" t="s">
        <v>14</v>
      </c>
      <c r="G589" t="s">
        <v>20</v>
      </c>
      <c r="H589" s="4">
        <v>420</v>
      </c>
      <c r="I589" s="5">
        <v>3</v>
      </c>
      <c r="K589" t="s">
        <v>25</v>
      </c>
    </row>
    <row r="590" spans="1:11" x14ac:dyDescent="0.3">
      <c r="A590">
        <v>1588</v>
      </c>
      <c r="B590" s="1">
        <v>46101</v>
      </c>
      <c r="C590" s="3">
        <v>0.67708333333333337</v>
      </c>
      <c r="D590" s="2">
        <f>tb_dados[[#This Row],[Data]]+tb_dados[[#This Row],[Hora]]</f>
        <v>46101.677083333336</v>
      </c>
      <c r="E590" t="s">
        <v>12</v>
      </c>
      <c r="F590" t="s">
        <v>13</v>
      </c>
      <c r="G590" t="s">
        <v>20</v>
      </c>
      <c r="H590" s="4">
        <v>420</v>
      </c>
      <c r="I590" s="5">
        <v>1</v>
      </c>
      <c r="K590" t="s">
        <v>25</v>
      </c>
    </row>
    <row r="591" spans="1:11" x14ac:dyDescent="0.3">
      <c r="A591">
        <v>1589</v>
      </c>
      <c r="B591" s="1">
        <v>46093</v>
      </c>
      <c r="C591" s="3">
        <v>0.83611111111111114</v>
      </c>
      <c r="D591" s="2">
        <f>tb_dados[[#This Row],[Data]]+tb_dados[[#This Row],[Hora]]</f>
        <v>46093.836111111108</v>
      </c>
      <c r="E591" t="s">
        <v>11</v>
      </c>
      <c r="F591" t="s">
        <v>14</v>
      </c>
      <c r="G591" t="s">
        <v>21</v>
      </c>
      <c r="H591" s="4">
        <v>350</v>
      </c>
      <c r="I591" s="5">
        <v>3</v>
      </c>
      <c r="K591" t="s">
        <v>27</v>
      </c>
    </row>
    <row r="592" spans="1:11" x14ac:dyDescent="0.3">
      <c r="A592">
        <v>1590</v>
      </c>
      <c r="B592" s="1">
        <v>46082</v>
      </c>
      <c r="C592" s="3">
        <v>0.76250000000000007</v>
      </c>
      <c r="D592" s="2">
        <f>tb_dados[[#This Row],[Data]]+tb_dados[[#This Row],[Hora]]</f>
        <v>46082.762499999997</v>
      </c>
      <c r="E592" t="s">
        <v>10</v>
      </c>
      <c r="F592" t="s">
        <v>15</v>
      </c>
      <c r="G592" t="s">
        <v>22</v>
      </c>
      <c r="H592" s="4">
        <v>2100</v>
      </c>
      <c r="I592" s="5">
        <v>2</v>
      </c>
      <c r="K592" t="s">
        <v>26</v>
      </c>
    </row>
    <row r="593" spans="1:11" x14ac:dyDescent="0.3">
      <c r="A593">
        <v>1591</v>
      </c>
      <c r="B593" s="1">
        <v>46097</v>
      </c>
      <c r="C593" s="3">
        <v>0.62916666666666665</v>
      </c>
      <c r="D593" s="2">
        <f>tb_dados[[#This Row],[Data]]+tb_dados[[#This Row],[Hora]]</f>
        <v>46097.629166666666</v>
      </c>
      <c r="E593" t="s">
        <v>11</v>
      </c>
      <c r="F593" t="s">
        <v>15</v>
      </c>
      <c r="G593" t="s">
        <v>21</v>
      </c>
      <c r="H593" s="4">
        <v>350</v>
      </c>
      <c r="I593" s="5">
        <v>2</v>
      </c>
      <c r="K593" t="s">
        <v>28</v>
      </c>
    </row>
    <row r="594" spans="1:11" x14ac:dyDescent="0.3">
      <c r="A594">
        <v>1592</v>
      </c>
      <c r="B594" s="1">
        <v>46079</v>
      </c>
      <c r="C594" s="3">
        <v>0.77222222222222225</v>
      </c>
      <c r="D594" s="2">
        <f>tb_dados[[#This Row],[Data]]+tb_dados[[#This Row],[Hora]]</f>
        <v>46079.772222222222</v>
      </c>
      <c r="E594" t="s">
        <v>10</v>
      </c>
      <c r="F594" t="s">
        <v>16</v>
      </c>
      <c r="G594" t="s">
        <v>23</v>
      </c>
      <c r="H594" s="4">
        <v>4500</v>
      </c>
      <c r="I594" s="5">
        <v>1</v>
      </c>
      <c r="K594" t="s">
        <v>27</v>
      </c>
    </row>
    <row r="595" spans="1:11" x14ac:dyDescent="0.3">
      <c r="A595">
        <v>1593</v>
      </c>
      <c r="B595" s="1">
        <v>46092</v>
      </c>
      <c r="C595" s="3">
        <v>0.92083333333333339</v>
      </c>
      <c r="D595" s="2">
        <f>tb_dados[[#This Row],[Data]]+tb_dados[[#This Row],[Hora]]</f>
        <v>46092.92083333333</v>
      </c>
      <c r="E595" t="s">
        <v>11</v>
      </c>
      <c r="F595" t="s">
        <v>14</v>
      </c>
      <c r="G595" t="s">
        <v>24</v>
      </c>
      <c r="H595" s="4">
        <v>280</v>
      </c>
      <c r="I595" s="5">
        <v>1</v>
      </c>
      <c r="K595" t="s">
        <v>27</v>
      </c>
    </row>
    <row r="596" spans="1:11" x14ac:dyDescent="0.3">
      <c r="A596">
        <v>1594</v>
      </c>
      <c r="B596" s="1">
        <v>46083</v>
      </c>
      <c r="C596" s="3">
        <v>0.88194444444444453</v>
      </c>
      <c r="D596" s="2">
        <f>tb_dados[[#This Row],[Data]]+tb_dados[[#This Row],[Hora]]</f>
        <v>46083.881944444445</v>
      </c>
      <c r="E596" t="s">
        <v>12</v>
      </c>
      <c r="F596" t="s">
        <v>16</v>
      </c>
      <c r="G596" t="s">
        <v>20</v>
      </c>
      <c r="H596" s="4">
        <v>420</v>
      </c>
      <c r="I596" s="5">
        <v>1</v>
      </c>
      <c r="K596" t="s">
        <v>27</v>
      </c>
    </row>
    <row r="597" spans="1:11" x14ac:dyDescent="0.3">
      <c r="A597">
        <v>1595</v>
      </c>
      <c r="B597" s="1">
        <v>46089</v>
      </c>
      <c r="C597" s="3">
        <v>0.38263888888888892</v>
      </c>
      <c r="D597" s="2">
        <f>tb_dados[[#This Row],[Data]]+tb_dados[[#This Row],[Hora]]</f>
        <v>46089.382638888892</v>
      </c>
      <c r="E597" t="s">
        <v>12</v>
      </c>
      <c r="F597" t="s">
        <v>13</v>
      </c>
      <c r="G597" t="s">
        <v>20</v>
      </c>
      <c r="H597" s="4">
        <v>420</v>
      </c>
      <c r="I597" s="5">
        <v>1</v>
      </c>
      <c r="K597" t="s">
        <v>25</v>
      </c>
    </row>
    <row r="598" spans="1:11" x14ac:dyDescent="0.3">
      <c r="A598">
        <v>1596</v>
      </c>
      <c r="B598" s="1">
        <v>46093</v>
      </c>
      <c r="C598" s="3">
        <v>0.4375</v>
      </c>
      <c r="D598" s="2">
        <f>tb_dados[[#This Row],[Data]]+tb_dados[[#This Row],[Hora]]</f>
        <v>46093.4375</v>
      </c>
      <c r="E598" t="s">
        <v>11</v>
      </c>
      <c r="F598" t="s">
        <v>16</v>
      </c>
      <c r="G598" t="s">
        <v>24</v>
      </c>
      <c r="H598" s="4">
        <v>280</v>
      </c>
      <c r="I598" s="5">
        <v>1</v>
      </c>
      <c r="K598" t="s">
        <v>25</v>
      </c>
    </row>
    <row r="599" spans="1:11" x14ac:dyDescent="0.3">
      <c r="A599">
        <v>1597</v>
      </c>
      <c r="B599" s="1">
        <v>46095</v>
      </c>
      <c r="C599" s="3">
        <v>0.80555555555555547</v>
      </c>
      <c r="D599" s="2">
        <f>tb_dados[[#This Row],[Data]]+tb_dados[[#This Row],[Hora]]</f>
        <v>46095.805555555555</v>
      </c>
      <c r="E599" t="s">
        <v>12</v>
      </c>
      <c r="F599" t="s">
        <v>13</v>
      </c>
      <c r="G599" t="s">
        <v>20</v>
      </c>
      <c r="H599" s="4">
        <v>420</v>
      </c>
      <c r="I599" s="5">
        <v>3</v>
      </c>
      <c r="K599" t="s">
        <v>26</v>
      </c>
    </row>
    <row r="600" spans="1:11" x14ac:dyDescent="0.3">
      <c r="A600">
        <v>1598</v>
      </c>
      <c r="B600" s="1">
        <v>46100</v>
      </c>
      <c r="C600" s="3">
        <v>0.39583333333333331</v>
      </c>
      <c r="D600" s="2">
        <f>tb_dados[[#This Row],[Data]]+tb_dados[[#This Row],[Hora]]</f>
        <v>46100.395833333336</v>
      </c>
      <c r="E600" t="s">
        <v>10</v>
      </c>
      <c r="F600" t="s">
        <v>14</v>
      </c>
      <c r="G600" t="s">
        <v>23</v>
      </c>
      <c r="H600" s="4">
        <v>4500</v>
      </c>
      <c r="I600" s="5">
        <v>1</v>
      </c>
      <c r="K600" t="s">
        <v>25</v>
      </c>
    </row>
    <row r="601" spans="1:11" x14ac:dyDescent="0.3">
      <c r="A601">
        <v>1599</v>
      </c>
      <c r="B601" s="1">
        <v>46104</v>
      </c>
      <c r="C601" s="3">
        <v>0.53888888888888886</v>
      </c>
      <c r="D601" s="2">
        <f>tb_dados[[#This Row],[Data]]+tb_dados[[#This Row],[Hora]]</f>
        <v>46104.538888888892</v>
      </c>
      <c r="E601" t="s">
        <v>10</v>
      </c>
      <c r="F601" t="s">
        <v>14</v>
      </c>
      <c r="G601" t="s">
        <v>23</v>
      </c>
      <c r="H601" s="4">
        <v>4500</v>
      </c>
      <c r="I601" s="5">
        <v>2</v>
      </c>
      <c r="K601" t="s">
        <v>27</v>
      </c>
    </row>
    <row r="602" spans="1:11" x14ac:dyDescent="0.3">
      <c r="A602">
        <v>1600</v>
      </c>
      <c r="B602" s="1">
        <v>46095</v>
      </c>
      <c r="C602" s="3">
        <v>0.49027777777777781</v>
      </c>
      <c r="D602" s="2">
        <f>tb_dados[[#This Row],[Data]]+tb_dados[[#This Row],[Hora]]</f>
        <v>46095.490277777775</v>
      </c>
      <c r="E602" t="s">
        <v>11</v>
      </c>
      <c r="F602" t="s">
        <v>14</v>
      </c>
      <c r="G602" t="s">
        <v>21</v>
      </c>
      <c r="H602" s="4">
        <v>350</v>
      </c>
      <c r="I602" s="5">
        <v>3</v>
      </c>
      <c r="K602" t="s">
        <v>26</v>
      </c>
    </row>
    <row r="603" spans="1:11" x14ac:dyDescent="0.3">
      <c r="A603">
        <v>1601</v>
      </c>
      <c r="B603" s="1">
        <v>46100</v>
      </c>
      <c r="C603" s="3">
        <v>0.61597222222222225</v>
      </c>
      <c r="D603" s="2">
        <f>tb_dados[[#This Row],[Data]]+tb_dados[[#This Row],[Hora]]</f>
        <v>46100.615972222222</v>
      </c>
      <c r="E603" t="s">
        <v>10</v>
      </c>
      <c r="F603" t="s">
        <v>14</v>
      </c>
      <c r="G603" t="s">
        <v>17</v>
      </c>
      <c r="H603" s="4">
        <v>900</v>
      </c>
      <c r="I603" s="5">
        <v>1</v>
      </c>
      <c r="K603" t="s">
        <v>26</v>
      </c>
    </row>
    <row r="604" spans="1:11" x14ac:dyDescent="0.3">
      <c r="A604">
        <v>1602</v>
      </c>
      <c r="B604" s="1">
        <v>46099</v>
      </c>
      <c r="C604" s="3">
        <v>0.83888888888888891</v>
      </c>
      <c r="D604" s="2">
        <f>tb_dados[[#This Row],[Data]]+tb_dados[[#This Row],[Hora]]</f>
        <v>46099.838888888888</v>
      </c>
      <c r="E604" t="s">
        <v>10</v>
      </c>
      <c r="F604" t="s">
        <v>16</v>
      </c>
      <c r="G604" t="s">
        <v>23</v>
      </c>
      <c r="H604" s="4">
        <v>4500</v>
      </c>
      <c r="I604" s="5">
        <v>2</v>
      </c>
      <c r="K604" t="s">
        <v>27</v>
      </c>
    </row>
    <row r="605" spans="1:11" x14ac:dyDescent="0.3">
      <c r="A605">
        <v>1603</v>
      </c>
      <c r="B605" s="1">
        <v>46105</v>
      </c>
      <c r="C605" s="3">
        <v>0.47847222222222219</v>
      </c>
      <c r="D605" s="2">
        <f>tb_dados[[#This Row],[Data]]+tb_dados[[#This Row],[Hora]]</f>
        <v>46105.478472222225</v>
      </c>
      <c r="E605" t="s">
        <v>11</v>
      </c>
      <c r="F605" t="s">
        <v>13</v>
      </c>
      <c r="G605" t="s">
        <v>21</v>
      </c>
      <c r="H605" s="4">
        <v>350</v>
      </c>
      <c r="I605" s="5">
        <v>1</v>
      </c>
      <c r="K605" t="s">
        <v>27</v>
      </c>
    </row>
    <row r="606" spans="1:11" x14ac:dyDescent="0.3">
      <c r="A606">
        <v>1604</v>
      </c>
      <c r="B606" s="1">
        <v>46092</v>
      </c>
      <c r="C606" s="3">
        <v>0.89444444444444438</v>
      </c>
      <c r="D606" s="2">
        <f>tb_dados[[#This Row],[Data]]+tb_dados[[#This Row],[Hora]]</f>
        <v>46092.894444444442</v>
      </c>
      <c r="E606" t="s">
        <v>11</v>
      </c>
      <c r="F606" t="s">
        <v>13</v>
      </c>
      <c r="G606" t="s">
        <v>21</v>
      </c>
      <c r="H606" s="4">
        <v>350</v>
      </c>
      <c r="I606" s="5">
        <v>3</v>
      </c>
      <c r="K606" t="s">
        <v>28</v>
      </c>
    </row>
    <row r="607" spans="1:11" x14ac:dyDescent="0.3">
      <c r="A607">
        <v>1605</v>
      </c>
      <c r="B607" s="1">
        <v>46092</v>
      </c>
      <c r="C607" s="3">
        <v>0.39513888888888887</v>
      </c>
      <c r="D607" s="2">
        <f>tb_dados[[#This Row],[Data]]+tb_dados[[#This Row],[Hora]]</f>
        <v>46092.395138888889</v>
      </c>
      <c r="E607" t="s">
        <v>11</v>
      </c>
      <c r="F607" t="s">
        <v>13</v>
      </c>
      <c r="G607" t="s">
        <v>24</v>
      </c>
      <c r="H607" s="4">
        <v>280</v>
      </c>
      <c r="I607" s="5">
        <v>1</v>
      </c>
      <c r="K607" t="s">
        <v>26</v>
      </c>
    </row>
    <row r="608" spans="1:11" x14ac:dyDescent="0.3">
      <c r="A608">
        <v>1606</v>
      </c>
      <c r="B608" s="1">
        <v>46099</v>
      </c>
      <c r="C608" s="3">
        <v>0.87986111111111109</v>
      </c>
      <c r="D608" s="2">
        <f>tb_dados[[#This Row],[Data]]+tb_dados[[#This Row],[Hora]]</f>
        <v>46099.879861111112</v>
      </c>
      <c r="E608" t="s">
        <v>11</v>
      </c>
      <c r="F608" t="s">
        <v>15</v>
      </c>
      <c r="G608" t="s">
        <v>21</v>
      </c>
      <c r="H608" s="4">
        <v>350</v>
      </c>
      <c r="I608" s="5">
        <v>3</v>
      </c>
      <c r="K608" t="s">
        <v>25</v>
      </c>
    </row>
    <row r="609" spans="1:11" x14ac:dyDescent="0.3">
      <c r="A609">
        <v>1607</v>
      </c>
      <c r="B609" s="1">
        <v>46103</v>
      </c>
      <c r="C609" s="3">
        <v>0.65763888888888888</v>
      </c>
      <c r="D609" s="2">
        <f>tb_dados[[#This Row],[Data]]+tb_dados[[#This Row],[Hora]]</f>
        <v>46103.657638888886</v>
      </c>
      <c r="E609" t="s">
        <v>12</v>
      </c>
      <c r="F609" t="s">
        <v>14</v>
      </c>
      <c r="G609" t="s">
        <v>19</v>
      </c>
      <c r="H609" s="4">
        <v>850</v>
      </c>
      <c r="I609" s="5">
        <v>1</v>
      </c>
      <c r="K609" t="s">
        <v>27</v>
      </c>
    </row>
    <row r="610" spans="1:11" x14ac:dyDescent="0.3">
      <c r="A610">
        <v>1608</v>
      </c>
      <c r="B610" s="1">
        <v>46081</v>
      </c>
      <c r="C610" s="3">
        <v>0.93611111111111101</v>
      </c>
      <c r="D610" s="2">
        <f>tb_dados[[#This Row],[Data]]+tb_dados[[#This Row],[Hora]]</f>
        <v>46081.936111111114</v>
      </c>
      <c r="E610" t="s">
        <v>12</v>
      </c>
      <c r="F610" t="s">
        <v>15</v>
      </c>
      <c r="G610" t="s">
        <v>20</v>
      </c>
      <c r="H610" s="4">
        <v>420</v>
      </c>
      <c r="I610" s="5">
        <v>3</v>
      </c>
      <c r="K610" t="s">
        <v>28</v>
      </c>
    </row>
    <row r="611" spans="1:11" x14ac:dyDescent="0.3">
      <c r="A611">
        <v>1609</v>
      </c>
      <c r="B611" s="1">
        <v>46097</v>
      </c>
      <c r="C611" s="3">
        <v>0.52152777777777781</v>
      </c>
      <c r="D611" s="2">
        <f>tb_dados[[#This Row],[Data]]+tb_dados[[#This Row],[Hora]]</f>
        <v>46097.521527777775</v>
      </c>
      <c r="E611" t="s">
        <v>11</v>
      </c>
      <c r="F611" t="s">
        <v>16</v>
      </c>
      <c r="G611" t="s">
        <v>24</v>
      </c>
      <c r="H611" s="4">
        <v>280</v>
      </c>
      <c r="I611" s="5">
        <v>1</v>
      </c>
      <c r="K611" t="s">
        <v>27</v>
      </c>
    </row>
    <row r="612" spans="1:11" x14ac:dyDescent="0.3">
      <c r="A612">
        <v>1610</v>
      </c>
      <c r="B612" s="1">
        <v>46080</v>
      </c>
      <c r="C612" s="3">
        <v>0.62777777777777777</v>
      </c>
      <c r="D612" s="2">
        <f>tb_dados[[#This Row],[Data]]+tb_dados[[#This Row],[Hora]]</f>
        <v>46080.62777777778</v>
      </c>
      <c r="E612" t="s">
        <v>11</v>
      </c>
      <c r="F612" t="s">
        <v>14</v>
      </c>
      <c r="G612" t="s">
        <v>24</v>
      </c>
      <c r="H612" s="4">
        <v>280</v>
      </c>
      <c r="I612" s="5">
        <v>1</v>
      </c>
      <c r="K612" t="s">
        <v>27</v>
      </c>
    </row>
    <row r="613" spans="1:11" x14ac:dyDescent="0.3">
      <c r="A613">
        <v>1611</v>
      </c>
      <c r="B613" s="1">
        <v>46083</v>
      </c>
      <c r="C613" s="3">
        <v>0.45069444444444445</v>
      </c>
      <c r="D613" s="2">
        <f>tb_dados[[#This Row],[Data]]+tb_dados[[#This Row],[Hora]]</f>
        <v>46083.450694444444</v>
      </c>
      <c r="E613" t="s">
        <v>12</v>
      </c>
      <c r="F613" t="s">
        <v>14</v>
      </c>
      <c r="G613" t="s">
        <v>20</v>
      </c>
      <c r="H613" s="4">
        <v>420</v>
      </c>
      <c r="I613" s="5">
        <v>3</v>
      </c>
      <c r="K613" t="s">
        <v>28</v>
      </c>
    </row>
    <row r="614" spans="1:11" x14ac:dyDescent="0.3">
      <c r="A614">
        <v>1612</v>
      </c>
      <c r="B614" s="1">
        <v>46081</v>
      </c>
      <c r="C614" s="3">
        <v>0.93888888888888899</v>
      </c>
      <c r="D614" s="2">
        <f>tb_dados[[#This Row],[Data]]+tb_dados[[#This Row],[Hora]]</f>
        <v>46081.938888888886</v>
      </c>
      <c r="E614" t="s">
        <v>10</v>
      </c>
      <c r="F614" t="s">
        <v>15</v>
      </c>
      <c r="G614" t="s">
        <v>23</v>
      </c>
      <c r="H614" s="4">
        <v>4500</v>
      </c>
      <c r="I614" s="5">
        <v>3</v>
      </c>
      <c r="K614" t="s">
        <v>25</v>
      </c>
    </row>
    <row r="615" spans="1:11" x14ac:dyDescent="0.3">
      <c r="A615">
        <v>1613</v>
      </c>
      <c r="B615" s="1">
        <v>46093</v>
      </c>
      <c r="C615" s="3">
        <v>0.43124999999999997</v>
      </c>
      <c r="D615" s="2">
        <f>tb_dados[[#This Row],[Data]]+tb_dados[[#This Row],[Hora]]</f>
        <v>46093.431250000001</v>
      </c>
      <c r="E615" t="s">
        <v>11</v>
      </c>
      <c r="F615" t="s">
        <v>15</v>
      </c>
      <c r="G615" t="s">
        <v>18</v>
      </c>
      <c r="H615" s="4">
        <v>120</v>
      </c>
      <c r="I615" s="5">
        <v>1</v>
      </c>
      <c r="K615" t="s">
        <v>26</v>
      </c>
    </row>
    <row r="616" spans="1:11" x14ac:dyDescent="0.3">
      <c r="A616">
        <v>1614</v>
      </c>
      <c r="B616" s="1">
        <v>46091</v>
      </c>
      <c r="C616" s="3">
        <v>0.42152777777777778</v>
      </c>
      <c r="D616" s="2">
        <f>tb_dados[[#This Row],[Data]]+tb_dados[[#This Row],[Hora]]</f>
        <v>46091.421527777777</v>
      </c>
      <c r="E616" t="s">
        <v>11</v>
      </c>
      <c r="F616" t="s">
        <v>15</v>
      </c>
      <c r="G616" t="s">
        <v>21</v>
      </c>
      <c r="H616" s="4">
        <v>350</v>
      </c>
      <c r="I616" s="5">
        <v>2</v>
      </c>
      <c r="K616" t="s">
        <v>27</v>
      </c>
    </row>
    <row r="617" spans="1:11" x14ac:dyDescent="0.3">
      <c r="A617">
        <v>1615</v>
      </c>
      <c r="B617" s="1">
        <v>46080</v>
      </c>
      <c r="C617" s="3">
        <v>0.43541666666666662</v>
      </c>
      <c r="D617" s="2">
        <f>tb_dados[[#This Row],[Data]]+tb_dados[[#This Row],[Hora]]</f>
        <v>46080.435416666667</v>
      </c>
      <c r="E617" t="s">
        <v>12</v>
      </c>
      <c r="F617" t="s">
        <v>16</v>
      </c>
      <c r="G617" t="s">
        <v>20</v>
      </c>
      <c r="H617" s="4">
        <v>420</v>
      </c>
      <c r="I617" s="5">
        <v>1</v>
      </c>
      <c r="K617" t="s">
        <v>26</v>
      </c>
    </row>
    <row r="618" spans="1:11" x14ac:dyDescent="0.3">
      <c r="A618">
        <v>1616</v>
      </c>
      <c r="B618" s="1">
        <v>46106</v>
      </c>
      <c r="C618" s="3">
        <v>0.66875000000000007</v>
      </c>
      <c r="D618" s="2">
        <f>tb_dados[[#This Row],[Data]]+tb_dados[[#This Row],[Hora]]</f>
        <v>46106.668749999997</v>
      </c>
      <c r="E618" t="s">
        <v>11</v>
      </c>
      <c r="F618" t="s">
        <v>16</v>
      </c>
      <c r="G618" t="s">
        <v>21</v>
      </c>
      <c r="H618" s="4">
        <v>350</v>
      </c>
      <c r="I618" s="5">
        <v>3</v>
      </c>
      <c r="K618" t="s">
        <v>26</v>
      </c>
    </row>
    <row r="619" spans="1:11" x14ac:dyDescent="0.3">
      <c r="A619">
        <v>1617</v>
      </c>
      <c r="B619" s="1">
        <v>46094</v>
      </c>
      <c r="C619" s="3">
        <v>0.58194444444444449</v>
      </c>
      <c r="D619" s="2">
        <f>tb_dados[[#This Row],[Data]]+tb_dados[[#This Row],[Hora]]</f>
        <v>46094.581944444442</v>
      </c>
      <c r="E619" t="s">
        <v>12</v>
      </c>
      <c r="F619" t="s">
        <v>13</v>
      </c>
      <c r="G619" t="s">
        <v>19</v>
      </c>
      <c r="H619" s="4">
        <v>850</v>
      </c>
      <c r="I619" s="5">
        <v>2</v>
      </c>
      <c r="K619" t="s">
        <v>27</v>
      </c>
    </row>
    <row r="620" spans="1:11" x14ac:dyDescent="0.3">
      <c r="A620">
        <v>1618</v>
      </c>
      <c r="B620" s="1">
        <v>46083</v>
      </c>
      <c r="C620" s="3">
        <v>0.6430555555555556</v>
      </c>
      <c r="D620" s="2">
        <f>tb_dados[[#This Row],[Data]]+tb_dados[[#This Row],[Hora]]</f>
        <v>46083.643055555556</v>
      </c>
      <c r="E620" t="s">
        <v>10</v>
      </c>
      <c r="F620" t="s">
        <v>16</v>
      </c>
      <c r="G620" t="s">
        <v>17</v>
      </c>
      <c r="H620" s="4">
        <v>900</v>
      </c>
      <c r="I620" s="5">
        <v>2</v>
      </c>
      <c r="K620" t="s">
        <v>28</v>
      </c>
    </row>
    <row r="621" spans="1:11" x14ac:dyDescent="0.3">
      <c r="A621">
        <v>1619</v>
      </c>
      <c r="B621" s="1">
        <v>46099</v>
      </c>
      <c r="C621" s="3">
        <v>0.87222222222222223</v>
      </c>
      <c r="D621" s="2">
        <f>tb_dados[[#This Row],[Data]]+tb_dados[[#This Row],[Hora]]</f>
        <v>46099.87222222222</v>
      </c>
      <c r="E621" t="s">
        <v>12</v>
      </c>
      <c r="F621" t="s">
        <v>15</v>
      </c>
      <c r="G621" t="s">
        <v>20</v>
      </c>
      <c r="H621" s="4">
        <v>420</v>
      </c>
      <c r="I621" s="5">
        <v>3</v>
      </c>
      <c r="K621" t="s">
        <v>28</v>
      </c>
    </row>
    <row r="622" spans="1:11" x14ac:dyDescent="0.3">
      <c r="A622">
        <v>1620</v>
      </c>
      <c r="B622" s="1">
        <v>46103</v>
      </c>
      <c r="C622" s="3">
        <v>0.67222222222222217</v>
      </c>
      <c r="D622" s="2">
        <f>tb_dados[[#This Row],[Data]]+tb_dados[[#This Row],[Hora]]</f>
        <v>46103.672222222223</v>
      </c>
      <c r="E622" t="s">
        <v>12</v>
      </c>
      <c r="F622" t="s">
        <v>14</v>
      </c>
      <c r="G622" t="s">
        <v>20</v>
      </c>
      <c r="H622" s="4">
        <v>420</v>
      </c>
      <c r="I622" s="5">
        <v>3</v>
      </c>
      <c r="K622" t="s">
        <v>28</v>
      </c>
    </row>
    <row r="623" spans="1:11" x14ac:dyDescent="0.3">
      <c r="A623">
        <v>1621</v>
      </c>
      <c r="B623" s="1">
        <v>46081</v>
      </c>
      <c r="C623" s="3">
        <v>0.87847222222222221</v>
      </c>
      <c r="D623" s="2">
        <f>tb_dados[[#This Row],[Data]]+tb_dados[[#This Row],[Hora]]</f>
        <v>46081.878472222219</v>
      </c>
      <c r="E623" t="s">
        <v>11</v>
      </c>
      <c r="F623" t="s">
        <v>13</v>
      </c>
      <c r="G623" t="s">
        <v>18</v>
      </c>
      <c r="H623" s="4">
        <v>120</v>
      </c>
      <c r="I623" s="5">
        <v>3</v>
      </c>
      <c r="K623" t="s">
        <v>27</v>
      </c>
    </row>
    <row r="624" spans="1:11" x14ac:dyDescent="0.3">
      <c r="A624">
        <v>1622</v>
      </c>
      <c r="B624" s="1">
        <v>46101</v>
      </c>
      <c r="C624" s="3">
        <v>0.93472222222222223</v>
      </c>
      <c r="D624" s="2">
        <f>tb_dados[[#This Row],[Data]]+tb_dados[[#This Row],[Hora]]</f>
        <v>46101.93472222222</v>
      </c>
      <c r="E624" t="s">
        <v>11</v>
      </c>
      <c r="F624" t="s">
        <v>13</v>
      </c>
      <c r="G624" t="s">
        <v>18</v>
      </c>
      <c r="H624" s="4">
        <v>120</v>
      </c>
      <c r="I624" s="5">
        <v>1</v>
      </c>
      <c r="K624" t="s">
        <v>27</v>
      </c>
    </row>
    <row r="625" spans="1:11" x14ac:dyDescent="0.3">
      <c r="A625">
        <v>1623</v>
      </c>
      <c r="B625" s="1">
        <v>46097</v>
      </c>
      <c r="C625" s="3">
        <v>0.90277777777777779</v>
      </c>
      <c r="D625" s="2">
        <f>tb_dados[[#This Row],[Data]]+tb_dados[[#This Row],[Hora]]</f>
        <v>46097.902777777781</v>
      </c>
      <c r="E625" t="s">
        <v>11</v>
      </c>
      <c r="F625" t="s">
        <v>15</v>
      </c>
      <c r="G625" t="s">
        <v>24</v>
      </c>
      <c r="H625" s="4">
        <v>280</v>
      </c>
      <c r="I625" s="5">
        <v>1</v>
      </c>
      <c r="K625" t="s">
        <v>27</v>
      </c>
    </row>
    <row r="626" spans="1:11" x14ac:dyDescent="0.3">
      <c r="A626">
        <v>1624</v>
      </c>
      <c r="B626" s="1">
        <v>46100</v>
      </c>
      <c r="C626" s="3">
        <v>0.73333333333333339</v>
      </c>
      <c r="D626" s="2">
        <f>tb_dados[[#This Row],[Data]]+tb_dados[[#This Row],[Hora]]</f>
        <v>46100.73333333333</v>
      </c>
      <c r="E626" t="s">
        <v>10</v>
      </c>
      <c r="F626" t="s">
        <v>16</v>
      </c>
      <c r="G626" t="s">
        <v>17</v>
      </c>
      <c r="H626" s="4">
        <v>900</v>
      </c>
      <c r="I626" s="5">
        <v>2</v>
      </c>
      <c r="K626" t="s">
        <v>26</v>
      </c>
    </row>
    <row r="627" spans="1:11" x14ac:dyDescent="0.3">
      <c r="A627">
        <v>1625</v>
      </c>
      <c r="B627" s="1">
        <v>46081</v>
      </c>
      <c r="C627" s="3">
        <v>0.73333333333333339</v>
      </c>
      <c r="D627" s="2">
        <f>tb_dados[[#This Row],[Data]]+tb_dados[[#This Row],[Hora]]</f>
        <v>46081.73333333333</v>
      </c>
      <c r="E627" t="s">
        <v>12</v>
      </c>
      <c r="F627" t="s">
        <v>14</v>
      </c>
      <c r="G627" t="s">
        <v>19</v>
      </c>
      <c r="H627" s="4">
        <v>850</v>
      </c>
      <c r="I627" s="5">
        <v>1</v>
      </c>
      <c r="K627" t="s">
        <v>25</v>
      </c>
    </row>
    <row r="628" spans="1:11" x14ac:dyDescent="0.3">
      <c r="A628">
        <v>1626</v>
      </c>
      <c r="B628" s="1">
        <v>46086</v>
      </c>
      <c r="C628" s="3">
        <v>0.47986111111111113</v>
      </c>
      <c r="D628" s="2">
        <f>tb_dados[[#This Row],[Data]]+tb_dados[[#This Row],[Hora]]</f>
        <v>46086.479861111111</v>
      </c>
      <c r="E628" t="s">
        <v>10</v>
      </c>
      <c r="F628" t="s">
        <v>15</v>
      </c>
      <c r="G628" t="s">
        <v>23</v>
      </c>
      <c r="H628" s="4">
        <v>4500</v>
      </c>
      <c r="I628" s="5">
        <v>2</v>
      </c>
      <c r="K628" t="s">
        <v>25</v>
      </c>
    </row>
    <row r="629" spans="1:11" x14ac:dyDescent="0.3">
      <c r="A629">
        <v>1627</v>
      </c>
      <c r="B629" s="1">
        <v>46079</v>
      </c>
      <c r="C629" s="3">
        <v>0.48472222222222222</v>
      </c>
      <c r="D629" s="2">
        <f>tb_dados[[#This Row],[Data]]+tb_dados[[#This Row],[Hora]]</f>
        <v>46079.484722222223</v>
      </c>
      <c r="E629" t="s">
        <v>10</v>
      </c>
      <c r="F629" t="s">
        <v>16</v>
      </c>
      <c r="G629" t="s">
        <v>23</v>
      </c>
      <c r="H629" s="4">
        <v>4500</v>
      </c>
      <c r="I629" s="5">
        <v>3</v>
      </c>
      <c r="K629" t="s">
        <v>26</v>
      </c>
    </row>
    <row r="630" spans="1:11" x14ac:dyDescent="0.3">
      <c r="A630">
        <v>1628</v>
      </c>
      <c r="B630" s="1">
        <v>46097</v>
      </c>
      <c r="C630" s="3">
        <v>0.38055555555555554</v>
      </c>
      <c r="D630" s="2">
        <f>tb_dados[[#This Row],[Data]]+tb_dados[[#This Row],[Hora]]</f>
        <v>46097.380555555559</v>
      </c>
      <c r="E630" t="s">
        <v>11</v>
      </c>
      <c r="F630" t="s">
        <v>13</v>
      </c>
      <c r="G630" t="s">
        <v>24</v>
      </c>
      <c r="H630" s="4">
        <v>280</v>
      </c>
      <c r="I630" s="5">
        <v>3</v>
      </c>
      <c r="K630" t="s">
        <v>26</v>
      </c>
    </row>
    <row r="631" spans="1:11" x14ac:dyDescent="0.3">
      <c r="A631">
        <v>1629</v>
      </c>
      <c r="B631" s="1">
        <v>46094</v>
      </c>
      <c r="C631" s="3">
        <v>0.40486111111111112</v>
      </c>
      <c r="D631" s="2">
        <f>tb_dados[[#This Row],[Data]]+tb_dados[[#This Row],[Hora]]</f>
        <v>46094.404861111114</v>
      </c>
      <c r="E631" t="s">
        <v>10</v>
      </c>
      <c r="F631" t="s">
        <v>16</v>
      </c>
      <c r="G631" t="s">
        <v>17</v>
      </c>
      <c r="H631" s="4">
        <v>900</v>
      </c>
      <c r="I631" s="5">
        <v>1</v>
      </c>
      <c r="K631" t="s">
        <v>26</v>
      </c>
    </row>
    <row r="632" spans="1:11" x14ac:dyDescent="0.3">
      <c r="A632">
        <v>1630</v>
      </c>
      <c r="B632" s="1">
        <v>46080</v>
      </c>
      <c r="C632" s="3">
        <v>0.4604166666666667</v>
      </c>
      <c r="D632" s="2">
        <f>tb_dados[[#This Row],[Data]]+tb_dados[[#This Row],[Hora]]</f>
        <v>46080.460416666669</v>
      </c>
      <c r="E632" t="s">
        <v>12</v>
      </c>
      <c r="F632" t="s">
        <v>16</v>
      </c>
      <c r="G632" t="s">
        <v>20</v>
      </c>
      <c r="H632" s="4">
        <v>420</v>
      </c>
      <c r="I632" s="5">
        <v>1</v>
      </c>
      <c r="K632" t="s">
        <v>28</v>
      </c>
    </row>
    <row r="633" spans="1:11" x14ac:dyDescent="0.3">
      <c r="A633">
        <v>1631</v>
      </c>
      <c r="B633" s="1">
        <v>46096</v>
      </c>
      <c r="C633" s="3">
        <v>0.75416666666666676</v>
      </c>
      <c r="D633" s="2">
        <f>tb_dados[[#This Row],[Data]]+tb_dados[[#This Row],[Hora]]</f>
        <v>46096.754166666666</v>
      </c>
      <c r="E633" t="s">
        <v>12</v>
      </c>
      <c r="F633" t="s">
        <v>15</v>
      </c>
      <c r="G633" t="s">
        <v>20</v>
      </c>
      <c r="H633" s="4">
        <v>420</v>
      </c>
      <c r="I633" s="5">
        <v>3</v>
      </c>
      <c r="K633" t="s">
        <v>28</v>
      </c>
    </row>
    <row r="634" spans="1:11" x14ac:dyDescent="0.3">
      <c r="A634">
        <v>1632</v>
      </c>
      <c r="B634" s="1">
        <v>46090</v>
      </c>
      <c r="C634" s="3">
        <v>0.76111111111111107</v>
      </c>
      <c r="D634" s="2">
        <f>tb_dados[[#This Row],[Data]]+tb_dados[[#This Row],[Hora]]</f>
        <v>46090.761111111111</v>
      </c>
      <c r="E634" t="s">
        <v>12</v>
      </c>
      <c r="F634" t="s">
        <v>16</v>
      </c>
      <c r="G634" t="s">
        <v>19</v>
      </c>
      <c r="H634" s="4">
        <v>850</v>
      </c>
      <c r="I634" s="5">
        <v>3</v>
      </c>
      <c r="K634" t="s">
        <v>28</v>
      </c>
    </row>
    <row r="635" spans="1:11" x14ac:dyDescent="0.3">
      <c r="A635">
        <v>1633</v>
      </c>
      <c r="B635" s="1">
        <v>46083</v>
      </c>
      <c r="C635" s="3">
        <v>0.91666666666666663</v>
      </c>
      <c r="D635" s="2">
        <f>tb_dados[[#This Row],[Data]]+tb_dados[[#This Row],[Hora]]</f>
        <v>46083.916666666664</v>
      </c>
      <c r="E635" t="s">
        <v>12</v>
      </c>
      <c r="F635" t="s">
        <v>13</v>
      </c>
      <c r="G635" t="s">
        <v>20</v>
      </c>
      <c r="H635" s="4">
        <v>420</v>
      </c>
      <c r="I635" s="5">
        <v>1</v>
      </c>
      <c r="K635" t="s">
        <v>27</v>
      </c>
    </row>
    <row r="636" spans="1:11" x14ac:dyDescent="0.3">
      <c r="A636">
        <v>1634</v>
      </c>
      <c r="B636" s="1">
        <v>46085</v>
      </c>
      <c r="C636" s="3">
        <v>0.38472222222222219</v>
      </c>
      <c r="D636" s="2">
        <f>tb_dados[[#This Row],[Data]]+tb_dados[[#This Row],[Hora]]</f>
        <v>46085.384722222225</v>
      </c>
      <c r="E636" t="s">
        <v>12</v>
      </c>
      <c r="F636" t="s">
        <v>15</v>
      </c>
      <c r="G636" t="s">
        <v>20</v>
      </c>
      <c r="H636" s="4">
        <v>420</v>
      </c>
      <c r="I636" s="5">
        <v>1</v>
      </c>
      <c r="K636" t="s">
        <v>27</v>
      </c>
    </row>
    <row r="637" spans="1:11" x14ac:dyDescent="0.3">
      <c r="A637">
        <v>1635</v>
      </c>
      <c r="B637" s="1">
        <v>46108</v>
      </c>
      <c r="C637" s="3">
        <v>0.3743055555555555</v>
      </c>
      <c r="D637" s="2">
        <f>tb_dados[[#This Row],[Data]]+tb_dados[[#This Row],[Hora]]</f>
        <v>46108.374305555553</v>
      </c>
      <c r="E637" t="s">
        <v>11</v>
      </c>
      <c r="F637" t="s">
        <v>14</v>
      </c>
      <c r="G637" t="s">
        <v>24</v>
      </c>
      <c r="H637" s="4">
        <v>280</v>
      </c>
      <c r="I637" s="5">
        <v>2</v>
      </c>
      <c r="K637" t="s">
        <v>27</v>
      </c>
    </row>
    <row r="638" spans="1:11" x14ac:dyDescent="0.3">
      <c r="A638">
        <v>1636</v>
      </c>
      <c r="B638" s="1">
        <v>46080</v>
      </c>
      <c r="C638" s="3">
        <v>0.49027777777777781</v>
      </c>
      <c r="D638" s="2">
        <f>tb_dados[[#This Row],[Data]]+tb_dados[[#This Row],[Hora]]</f>
        <v>46080.490277777775</v>
      </c>
      <c r="E638" t="s">
        <v>11</v>
      </c>
      <c r="F638" t="s">
        <v>15</v>
      </c>
      <c r="G638" t="s">
        <v>24</v>
      </c>
      <c r="H638" s="4">
        <v>280</v>
      </c>
      <c r="I638" s="5">
        <v>1</v>
      </c>
      <c r="K638" t="s">
        <v>26</v>
      </c>
    </row>
    <row r="639" spans="1:11" x14ac:dyDescent="0.3">
      <c r="A639">
        <v>1637</v>
      </c>
      <c r="B639" s="1">
        <v>46098</v>
      </c>
      <c r="C639" s="3">
        <v>0.5229166666666667</v>
      </c>
      <c r="D639" s="2">
        <f>tb_dados[[#This Row],[Data]]+tb_dados[[#This Row],[Hora]]</f>
        <v>46098.522916666669</v>
      </c>
      <c r="E639" t="s">
        <v>10</v>
      </c>
      <c r="F639" t="s">
        <v>13</v>
      </c>
      <c r="G639" t="s">
        <v>22</v>
      </c>
      <c r="H639" s="4">
        <v>2100</v>
      </c>
      <c r="I639" s="5">
        <v>3</v>
      </c>
      <c r="K639" t="s">
        <v>28</v>
      </c>
    </row>
    <row r="640" spans="1:11" x14ac:dyDescent="0.3">
      <c r="A640">
        <v>1638</v>
      </c>
      <c r="B640" s="1">
        <v>46088</v>
      </c>
      <c r="C640" s="3">
        <v>0.50416666666666665</v>
      </c>
      <c r="D640" s="2">
        <f>tb_dados[[#This Row],[Data]]+tb_dados[[#This Row],[Hora]]</f>
        <v>46088.504166666666</v>
      </c>
      <c r="E640" t="s">
        <v>11</v>
      </c>
      <c r="F640" t="s">
        <v>15</v>
      </c>
      <c r="G640" t="s">
        <v>24</v>
      </c>
      <c r="H640" s="4">
        <v>280</v>
      </c>
      <c r="I640" s="5">
        <v>2</v>
      </c>
      <c r="K640" t="s">
        <v>27</v>
      </c>
    </row>
    <row r="641" spans="1:11" x14ac:dyDescent="0.3">
      <c r="A641">
        <v>1639</v>
      </c>
      <c r="B641" s="1">
        <v>46102</v>
      </c>
      <c r="C641" s="3">
        <v>0.40486111111111112</v>
      </c>
      <c r="D641" s="2">
        <f>tb_dados[[#This Row],[Data]]+tb_dados[[#This Row],[Hora]]</f>
        <v>46102.404861111114</v>
      </c>
      <c r="E641" t="s">
        <v>11</v>
      </c>
      <c r="F641" t="s">
        <v>13</v>
      </c>
      <c r="G641" t="s">
        <v>18</v>
      </c>
      <c r="H641" s="4">
        <v>120</v>
      </c>
      <c r="I641" s="5">
        <v>1</v>
      </c>
      <c r="K641" t="s">
        <v>26</v>
      </c>
    </row>
    <row r="642" spans="1:11" x14ac:dyDescent="0.3">
      <c r="A642">
        <v>1640</v>
      </c>
      <c r="B642" s="1">
        <v>46081</v>
      </c>
      <c r="C642" s="3">
        <v>0.3444444444444445</v>
      </c>
      <c r="D642" s="2">
        <f>tb_dados[[#This Row],[Data]]+tb_dados[[#This Row],[Hora]]</f>
        <v>46081.344444444447</v>
      </c>
      <c r="E642" t="s">
        <v>12</v>
      </c>
      <c r="F642" t="s">
        <v>14</v>
      </c>
      <c r="G642" t="s">
        <v>19</v>
      </c>
      <c r="H642" s="4">
        <v>850</v>
      </c>
      <c r="I642" s="5">
        <v>2</v>
      </c>
      <c r="K642" t="s">
        <v>26</v>
      </c>
    </row>
    <row r="643" spans="1:11" x14ac:dyDescent="0.3">
      <c r="A643">
        <v>1641</v>
      </c>
      <c r="B643" s="1">
        <v>46078</v>
      </c>
      <c r="C643" s="3">
        <v>0.38472222222222219</v>
      </c>
      <c r="D643" s="2">
        <f>tb_dados[[#This Row],[Data]]+tb_dados[[#This Row],[Hora]]</f>
        <v>46078.384722222225</v>
      </c>
      <c r="E643" t="s">
        <v>12</v>
      </c>
      <c r="F643" t="s">
        <v>13</v>
      </c>
      <c r="G643" t="s">
        <v>20</v>
      </c>
      <c r="H643" s="4">
        <v>420</v>
      </c>
      <c r="I643" s="5">
        <v>1</v>
      </c>
      <c r="K643" t="s">
        <v>25</v>
      </c>
    </row>
    <row r="644" spans="1:11" x14ac:dyDescent="0.3">
      <c r="A644">
        <v>1642</v>
      </c>
      <c r="B644" s="1">
        <v>46084</v>
      </c>
      <c r="C644" s="3">
        <v>0.72986111111111107</v>
      </c>
      <c r="D644" s="2">
        <f>tb_dados[[#This Row],[Data]]+tb_dados[[#This Row],[Hora]]</f>
        <v>46084.729861111111</v>
      </c>
      <c r="E644" t="s">
        <v>10</v>
      </c>
      <c r="F644" t="s">
        <v>15</v>
      </c>
      <c r="G644" t="s">
        <v>22</v>
      </c>
      <c r="H644" s="4">
        <v>2100</v>
      </c>
      <c r="I644" s="5">
        <v>1</v>
      </c>
      <c r="K644" t="s">
        <v>27</v>
      </c>
    </row>
    <row r="645" spans="1:11" x14ac:dyDescent="0.3">
      <c r="A645">
        <v>1643</v>
      </c>
      <c r="B645" s="1">
        <v>46078</v>
      </c>
      <c r="C645" s="3">
        <v>0.71458333333333324</v>
      </c>
      <c r="D645" s="2">
        <f>tb_dados[[#This Row],[Data]]+tb_dados[[#This Row],[Hora]]</f>
        <v>46078.714583333334</v>
      </c>
      <c r="E645" t="s">
        <v>10</v>
      </c>
      <c r="F645" t="s">
        <v>15</v>
      </c>
      <c r="G645" t="s">
        <v>22</v>
      </c>
      <c r="H645" s="4">
        <v>2100</v>
      </c>
      <c r="I645" s="5">
        <v>3</v>
      </c>
      <c r="K645" t="s">
        <v>28</v>
      </c>
    </row>
    <row r="646" spans="1:11" x14ac:dyDescent="0.3">
      <c r="A646">
        <v>1644</v>
      </c>
      <c r="B646" s="1">
        <v>46094</v>
      </c>
      <c r="C646" s="3">
        <v>0.33402777777777781</v>
      </c>
      <c r="D646" s="2">
        <f>tb_dados[[#This Row],[Data]]+tb_dados[[#This Row],[Hora]]</f>
        <v>46094.334027777775</v>
      </c>
      <c r="E646" t="s">
        <v>10</v>
      </c>
      <c r="F646" t="s">
        <v>14</v>
      </c>
      <c r="G646" t="s">
        <v>22</v>
      </c>
      <c r="H646" s="4">
        <v>2100</v>
      </c>
      <c r="I646" s="5">
        <v>3</v>
      </c>
      <c r="K646" t="s">
        <v>26</v>
      </c>
    </row>
    <row r="647" spans="1:11" x14ac:dyDescent="0.3">
      <c r="A647">
        <v>1645</v>
      </c>
      <c r="B647" s="1">
        <v>46087</v>
      </c>
      <c r="C647" s="3">
        <v>0.79722222222222217</v>
      </c>
      <c r="D647" s="2">
        <f>tb_dados[[#This Row],[Data]]+tb_dados[[#This Row],[Hora]]</f>
        <v>46087.797222222223</v>
      </c>
      <c r="E647" t="s">
        <v>10</v>
      </c>
      <c r="F647" t="s">
        <v>16</v>
      </c>
      <c r="G647" t="s">
        <v>17</v>
      </c>
      <c r="H647" s="4">
        <v>900</v>
      </c>
      <c r="I647" s="5">
        <v>3</v>
      </c>
      <c r="K647" t="s">
        <v>25</v>
      </c>
    </row>
    <row r="648" spans="1:11" x14ac:dyDescent="0.3">
      <c r="A648">
        <v>1646</v>
      </c>
      <c r="B648" s="1">
        <v>46103</v>
      </c>
      <c r="C648" s="3">
        <v>0.91041666666666676</v>
      </c>
      <c r="D648" s="2">
        <f>tb_dados[[#This Row],[Data]]+tb_dados[[#This Row],[Hora]]</f>
        <v>46103.910416666666</v>
      </c>
      <c r="E648" t="s">
        <v>11</v>
      </c>
      <c r="F648" t="s">
        <v>16</v>
      </c>
      <c r="G648" t="s">
        <v>24</v>
      </c>
      <c r="H648" s="4">
        <v>280</v>
      </c>
      <c r="I648" s="5">
        <v>2</v>
      </c>
      <c r="K648" t="s">
        <v>28</v>
      </c>
    </row>
    <row r="649" spans="1:11" x14ac:dyDescent="0.3">
      <c r="A649">
        <v>1647</v>
      </c>
      <c r="B649" s="1">
        <v>46079</v>
      </c>
      <c r="C649" s="3">
        <v>0.47430555555555554</v>
      </c>
      <c r="D649" s="2">
        <f>tb_dados[[#This Row],[Data]]+tb_dados[[#This Row],[Hora]]</f>
        <v>46079.474305555559</v>
      </c>
      <c r="E649" t="s">
        <v>10</v>
      </c>
      <c r="F649" t="s">
        <v>15</v>
      </c>
      <c r="G649" t="s">
        <v>22</v>
      </c>
      <c r="H649" s="4">
        <v>2100</v>
      </c>
      <c r="I649" s="5">
        <v>3</v>
      </c>
      <c r="K649" t="s">
        <v>26</v>
      </c>
    </row>
    <row r="650" spans="1:11" x14ac:dyDescent="0.3">
      <c r="A650">
        <v>1648</v>
      </c>
      <c r="B650" s="1">
        <v>46102</v>
      </c>
      <c r="C650" s="3">
        <v>0.46736111111111112</v>
      </c>
      <c r="D650" s="2">
        <f>tb_dados[[#This Row],[Data]]+tb_dados[[#This Row],[Hora]]</f>
        <v>46102.467361111114</v>
      </c>
      <c r="E650" t="s">
        <v>11</v>
      </c>
      <c r="F650" t="s">
        <v>14</v>
      </c>
      <c r="G650" t="s">
        <v>18</v>
      </c>
      <c r="H650" s="4">
        <v>120</v>
      </c>
      <c r="I650" s="5">
        <v>2</v>
      </c>
      <c r="K650" t="s">
        <v>28</v>
      </c>
    </row>
    <row r="651" spans="1:11" x14ac:dyDescent="0.3">
      <c r="A651">
        <v>1649</v>
      </c>
      <c r="B651" s="1">
        <v>46102</v>
      </c>
      <c r="C651" s="3">
        <v>0.90902777777777777</v>
      </c>
      <c r="D651" s="2">
        <f>tb_dados[[#This Row],[Data]]+tb_dados[[#This Row],[Hora]]</f>
        <v>46102.90902777778</v>
      </c>
      <c r="E651" t="s">
        <v>10</v>
      </c>
      <c r="F651" t="s">
        <v>13</v>
      </c>
      <c r="G651" t="s">
        <v>23</v>
      </c>
      <c r="H651" s="4">
        <v>4500</v>
      </c>
      <c r="I651" s="5">
        <v>3</v>
      </c>
      <c r="K651" t="s">
        <v>25</v>
      </c>
    </row>
    <row r="652" spans="1:11" x14ac:dyDescent="0.3">
      <c r="A652">
        <v>1650</v>
      </c>
      <c r="B652" s="1">
        <v>46082</v>
      </c>
      <c r="C652" s="3">
        <v>0.50555555555555554</v>
      </c>
      <c r="D652" s="2">
        <f>tb_dados[[#This Row],[Data]]+tb_dados[[#This Row],[Hora]]</f>
        <v>46082.505555555559</v>
      </c>
      <c r="E652" t="s">
        <v>10</v>
      </c>
      <c r="F652" t="s">
        <v>15</v>
      </c>
      <c r="G652" t="s">
        <v>17</v>
      </c>
      <c r="H652" s="4">
        <v>900</v>
      </c>
      <c r="I652" s="5">
        <v>2</v>
      </c>
      <c r="K652" t="s">
        <v>28</v>
      </c>
    </row>
    <row r="653" spans="1:11" x14ac:dyDescent="0.3">
      <c r="A653">
        <v>1651</v>
      </c>
      <c r="B653" s="1">
        <v>46099</v>
      </c>
      <c r="C653" s="3">
        <v>0.84861111111111109</v>
      </c>
      <c r="D653" s="2">
        <f>tb_dados[[#This Row],[Data]]+tb_dados[[#This Row],[Hora]]</f>
        <v>46099.848611111112</v>
      </c>
      <c r="E653" t="s">
        <v>11</v>
      </c>
      <c r="F653" t="s">
        <v>14</v>
      </c>
      <c r="G653" t="s">
        <v>21</v>
      </c>
      <c r="H653" s="4">
        <v>350</v>
      </c>
      <c r="I653" s="5">
        <v>1</v>
      </c>
      <c r="K653" t="s">
        <v>26</v>
      </c>
    </row>
    <row r="654" spans="1:11" x14ac:dyDescent="0.3">
      <c r="A654">
        <v>1652</v>
      </c>
      <c r="B654" s="1">
        <v>46101</v>
      </c>
      <c r="C654" s="3">
        <v>0.94236111111111109</v>
      </c>
      <c r="D654" s="2">
        <f>tb_dados[[#This Row],[Data]]+tb_dados[[#This Row],[Hora]]</f>
        <v>46101.942361111112</v>
      </c>
      <c r="E654" t="s">
        <v>12</v>
      </c>
      <c r="F654" t="s">
        <v>15</v>
      </c>
      <c r="G654" t="s">
        <v>20</v>
      </c>
      <c r="H654" s="4">
        <v>420</v>
      </c>
      <c r="I654" s="5">
        <v>1</v>
      </c>
      <c r="K654" t="s">
        <v>25</v>
      </c>
    </row>
    <row r="655" spans="1:11" x14ac:dyDescent="0.3">
      <c r="A655">
        <v>1653</v>
      </c>
      <c r="B655" s="1">
        <v>46082</v>
      </c>
      <c r="C655" s="3">
        <v>0.89930555555555547</v>
      </c>
      <c r="D655" s="2">
        <f>tb_dados[[#This Row],[Data]]+tb_dados[[#This Row],[Hora]]</f>
        <v>46082.899305555555</v>
      </c>
      <c r="E655" t="s">
        <v>12</v>
      </c>
      <c r="F655" t="s">
        <v>14</v>
      </c>
      <c r="G655" t="s">
        <v>20</v>
      </c>
      <c r="H655" s="4">
        <v>420</v>
      </c>
      <c r="I655" s="5">
        <v>1</v>
      </c>
      <c r="K655" t="s">
        <v>25</v>
      </c>
    </row>
    <row r="656" spans="1:11" x14ac:dyDescent="0.3">
      <c r="A656">
        <v>1654</v>
      </c>
      <c r="B656" s="1">
        <v>46088</v>
      </c>
      <c r="C656" s="3">
        <v>0.37291666666666662</v>
      </c>
      <c r="D656" s="2">
        <f>tb_dados[[#This Row],[Data]]+tb_dados[[#This Row],[Hora]]</f>
        <v>46088.372916666667</v>
      </c>
      <c r="E656" t="s">
        <v>11</v>
      </c>
      <c r="F656" t="s">
        <v>13</v>
      </c>
      <c r="G656" t="s">
        <v>21</v>
      </c>
      <c r="H656" s="4">
        <v>350</v>
      </c>
      <c r="I656" s="5">
        <v>1</v>
      </c>
      <c r="K656" t="s">
        <v>26</v>
      </c>
    </row>
    <row r="657" spans="1:11" x14ac:dyDescent="0.3">
      <c r="A657">
        <v>1655</v>
      </c>
      <c r="B657" s="1">
        <v>46097</v>
      </c>
      <c r="C657" s="3">
        <v>0.48541666666666666</v>
      </c>
      <c r="D657" s="2">
        <f>tb_dados[[#This Row],[Data]]+tb_dados[[#This Row],[Hora]]</f>
        <v>46097.48541666667</v>
      </c>
      <c r="E657" t="s">
        <v>12</v>
      </c>
      <c r="F657" t="s">
        <v>13</v>
      </c>
      <c r="G657" t="s">
        <v>19</v>
      </c>
      <c r="H657" s="4">
        <v>850</v>
      </c>
      <c r="I657" s="5">
        <v>1</v>
      </c>
      <c r="K657" t="s">
        <v>25</v>
      </c>
    </row>
    <row r="658" spans="1:11" x14ac:dyDescent="0.3">
      <c r="A658">
        <v>1656</v>
      </c>
      <c r="B658" s="1">
        <v>46101</v>
      </c>
      <c r="C658" s="3">
        <v>0.95416666666666661</v>
      </c>
      <c r="D658" s="2">
        <f>tb_dados[[#This Row],[Data]]+tb_dados[[#This Row],[Hora]]</f>
        <v>46101.95416666667</v>
      </c>
      <c r="E658" t="s">
        <v>10</v>
      </c>
      <c r="F658" t="s">
        <v>16</v>
      </c>
      <c r="G658" t="s">
        <v>23</v>
      </c>
      <c r="H658" s="4">
        <v>4500</v>
      </c>
      <c r="I658" s="5">
        <v>1</v>
      </c>
      <c r="K658" t="s">
        <v>25</v>
      </c>
    </row>
    <row r="659" spans="1:11" x14ac:dyDescent="0.3">
      <c r="A659">
        <v>1657</v>
      </c>
      <c r="B659" s="1">
        <v>46105</v>
      </c>
      <c r="C659" s="3">
        <v>0.92569444444444438</v>
      </c>
      <c r="D659" s="2">
        <f>tb_dados[[#This Row],[Data]]+tb_dados[[#This Row],[Hora]]</f>
        <v>46105.925694444442</v>
      </c>
      <c r="E659" t="s">
        <v>11</v>
      </c>
      <c r="F659" t="s">
        <v>15</v>
      </c>
      <c r="G659" t="s">
        <v>21</v>
      </c>
      <c r="H659" s="4">
        <v>350</v>
      </c>
      <c r="I659" s="5">
        <v>1</v>
      </c>
      <c r="K659" t="s">
        <v>26</v>
      </c>
    </row>
    <row r="660" spans="1:11" x14ac:dyDescent="0.3">
      <c r="A660">
        <v>1658</v>
      </c>
      <c r="B660" s="1">
        <v>46108</v>
      </c>
      <c r="C660" s="3">
        <v>0.66527777777777775</v>
      </c>
      <c r="D660" s="2">
        <f>tb_dados[[#This Row],[Data]]+tb_dados[[#This Row],[Hora]]</f>
        <v>46108.665277777778</v>
      </c>
      <c r="E660" t="s">
        <v>12</v>
      </c>
      <c r="F660" t="s">
        <v>13</v>
      </c>
      <c r="G660" t="s">
        <v>19</v>
      </c>
      <c r="H660" s="4">
        <v>850</v>
      </c>
      <c r="I660" s="5">
        <v>1</v>
      </c>
      <c r="K660" t="s">
        <v>27</v>
      </c>
    </row>
    <row r="661" spans="1:11" x14ac:dyDescent="0.3">
      <c r="A661">
        <v>1659</v>
      </c>
      <c r="B661" s="1">
        <v>46080</v>
      </c>
      <c r="C661" s="3">
        <v>0.65069444444444446</v>
      </c>
      <c r="D661" s="2">
        <f>tb_dados[[#This Row],[Data]]+tb_dados[[#This Row],[Hora]]</f>
        <v>46080.650694444441</v>
      </c>
      <c r="E661" t="s">
        <v>10</v>
      </c>
      <c r="F661" t="s">
        <v>15</v>
      </c>
      <c r="G661" t="s">
        <v>22</v>
      </c>
      <c r="H661" s="4">
        <v>2100</v>
      </c>
      <c r="I661" s="5">
        <v>3</v>
      </c>
      <c r="K661" t="s">
        <v>28</v>
      </c>
    </row>
    <row r="662" spans="1:11" x14ac:dyDescent="0.3">
      <c r="A662">
        <v>1660</v>
      </c>
      <c r="B662" s="1">
        <v>46094</v>
      </c>
      <c r="C662" s="3">
        <v>0.42569444444444443</v>
      </c>
      <c r="D662" s="2">
        <f>tb_dados[[#This Row],[Data]]+tb_dados[[#This Row],[Hora]]</f>
        <v>46094.425694444442</v>
      </c>
      <c r="E662" t="s">
        <v>12</v>
      </c>
      <c r="F662" t="s">
        <v>13</v>
      </c>
      <c r="G662" t="s">
        <v>19</v>
      </c>
      <c r="H662" s="4">
        <v>850</v>
      </c>
      <c r="I662" s="5">
        <v>2</v>
      </c>
      <c r="K662" t="s">
        <v>27</v>
      </c>
    </row>
    <row r="663" spans="1:11" x14ac:dyDescent="0.3">
      <c r="A663">
        <v>1661</v>
      </c>
      <c r="B663" s="1">
        <v>46081</v>
      </c>
      <c r="C663" s="3">
        <v>0.83750000000000002</v>
      </c>
      <c r="D663" s="2">
        <f>tb_dados[[#This Row],[Data]]+tb_dados[[#This Row],[Hora]]</f>
        <v>46081.837500000001</v>
      </c>
      <c r="E663" t="s">
        <v>12</v>
      </c>
      <c r="F663" t="s">
        <v>16</v>
      </c>
      <c r="G663" t="s">
        <v>19</v>
      </c>
      <c r="H663" s="4">
        <v>850</v>
      </c>
      <c r="I663" s="5">
        <v>2</v>
      </c>
      <c r="K663" t="s">
        <v>26</v>
      </c>
    </row>
    <row r="664" spans="1:11" x14ac:dyDescent="0.3">
      <c r="A664">
        <v>1662</v>
      </c>
      <c r="B664" s="1">
        <v>46083</v>
      </c>
      <c r="C664" s="3">
        <v>0.82361111111111107</v>
      </c>
      <c r="D664" s="2">
        <f>tb_dados[[#This Row],[Data]]+tb_dados[[#This Row],[Hora]]</f>
        <v>46083.823611111111</v>
      </c>
      <c r="E664" t="s">
        <v>10</v>
      </c>
      <c r="F664" t="s">
        <v>13</v>
      </c>
      <c r="G664" t="s">
        <v>22</v>
      </c>
      <c r="H664" s="4">
        <v>2100</v>
      </c>
      <c r="I664" s="5">
        <v>3</v>
      </c>
      <c r="K664" t="s">
        <v>25</v>
      </c>
    </row>
    <row r="665" spans="1:11" x14ac:dyDescent="0.3">
      <c r="A665">
        <v>1663</v>
      </c>
      <c r="B665" s="1">
        <v>46095</v>
      </c>
      <c r="C665" s="3">
        <v>0.34375</v>
      </c>
      <c r="D665" s="2">
        <f>tb_dados[[#This Row],[Data]]+tb_dados[[#This Row],[Hora]]</f>
        <v>46095.34375</v>
      </c>
      <c r="E665" t="s">
        <v>12</v>
      </c>
      <c r="F665" t="s">
        <v>15</v>
      </c>
      <c r="G665" t="s">
        <v>20</v>
      </c>
      <c r="H665" s="4">
        <v>420</v>
      </c>
      <c r="I665" s="5">
        <v>1</v>
      </c>
      <c r="K665" t="s">
        <v>27</v>
      </c>
    </row>
    <row r="666" spans="1:11" x14ac:dyDescent="0.3">
      <c r="A666">
        <v>1664</v>
      </c>
      <c r="B666" s="1">
        <v>46088</v>
      </c>
      <c r="C666" s="3">
        <v>0.82291666666666663</v>
      </c>
      <c r="D666" s="2">
        <f>tb_dados[[#This Row],[Data]]+tb_dados[[#This Row],[Hora]]</f>
        <v>46088.822916666664</v>
      </c>
      <c r="E666" t="s">
        <v>12</v>
      </c>
      <c r="F666" t="s">
        <v>15</v>
      </c>
      <c r="G666" t="s">
        <v>19</v>
      </c>
      <c r="H666" s="4">
        <v>850</v>
      </c>
      <c r="I666" s="5">
        <v>2</v>
      </c>
      <c r="K666" t="s">
        <v>26</v>
      </c>
    </row>
    <row r="667" spans="1:11" x14ac:dyDescent="0.3">
      <c r="A667">
        <v>1665</v>
      </c>
      <c r="B667" s="1">
        <v>46093</v>
      </c>
      <c r="C667" s="3">
        <v>0.70138888888888884</v>
      </c>
      <c r="D667" s="2">
        <f>tb_dados[[#This Row],[Data]]+tb_dados[[#This Row],[Hora]]</f>
        <v>46093.701388888891</v>
      </c>
      <c r="E667" t="s">
        <v>11</v>
      </c>
      <c r="F667" t="s">
        <v>14</v>
      </c>
      <c r="G667" t="s">
        <v>21</v>
      </c>
      <c r="H667" s="4">
        <v>350</v>
      </c>
      <c r="I667" s="5">
        <v>1</v>
      </c>
      <c r="K667" t="s">
        <v>26</v>
      </c>
    </row>
    <row r="668" spans="1:11" x14ac:dyDescent="0.3">
      <c r="A668">
        <v>1666</v>
      </c>
      <c r="B668" s="1">
        <v>46078</v>
      </c>
      <c r="C668" s="3">
        <v>0.72013888888888899</v>
      </c>
      <c r="D668" s="2">
        <f>tb_dados[[#This Row],[Data]]+tb_dados[[#This Row],[Hora]]</f>
        <v>46078.720138888886</v>
      </c>
      <c r="E668" t="s">
        <v>10</v>
      </c>
      <c r="F668" t="s">
        <v>13</v>
      </c>
      <c r="G668" t="s">
        <v>23</v>
      </c>
      <c r="H668" s="4">
        <v>4500</v>
      </c>
      <c r="I668" s="5">
        <v>1</v>
      </c>
      <c r="K668" t="s">
        <v>25</v>
      </c>
    </row>
    <row r="669" spans="1:11" x14ac:dyDescent="0.3">
      <c r="A669">
        <v>1667</v>
      </c>
      <c r="B669" s="1">
        <v>46083</v>
      </c>
      <c r="C669" s="3">
        <v>0.60277777777777775</v>
      </c>
      <c r="D669" s="2">
        <f>tb_dados[[#This Row],[Data]]+tb_dados[[#This Row],[Hora]]</f>
        <v>46083.602777777778</v>
      </c>
      <c r="E669" t="s">
        <v>12</v>
      </c>
      <c r="F669" t="s">
        <v>13</v>
      </c>
      <c r="G669" t="s">
        <v>19</v>
      </c>
      <c r="H669" s="4">
        <v>850</v>
      </c>
      <c r="I669" s="5">
        <v>3</v>
      </c>
      <c r="K669" t="s">
        <v>28</v>
      </c>
    </row>
    <row r="670" spans="1:11" x14ac:dyDescent="0.3">
      <c r="A670">
        <v>1668</v>
      </c>
      <c r="B670" s="1">
        <v>46085</v>
      </c>
      <c r="C670" s="3">
        <v>0.84375</v>
      </c>
      <c r="D670" s="2">
        <f>tb_dados[[#This Row],[Data]]+tb_dados[[#This Row],[Hora]]</f>
        <v>46085.84375</v>
      </c>
      <c r="E670" t="s">
        <v>11</v>
      </c>
      <c r="F670" t="s">
        <v>14</v>
      </c>
      <c r="G670" t="s">
        <v>18</v>
      </c>
      <c r="H670" s="4">
        <v>120</v>
      </c>
      <c r="I670" s="5">
        <v>1</v>
      </c>
      <c r="K670" t="s">
        <v>27</v>
      </c>
    </row>
    <row r="671" spans="1:11" x14ac:dyDescent="0.3">
      <c r="A671">
        <v>1669</v>
      </c>
      <c r="B671" s="1">
        <v>46084</v>
      </c>
      <c r="C671" s="3">
        <v>0.82430555555555562</v>
      </c>
      <c r="D671" s="2">
        <f>tb_dados[[#This Row],[Data]]+tb_dados[[#This Row],[Hora]]</f>
        <v>46084.824305555558</v>
      </c>
      <c r="E671" t="s">
        <v>10</v>
      </c>
      <c r="F671" t="s">
        <v>13</v>
      </c>
      <c r="G671" t="s">
        <v>23</v>
      </c>
      <c r="H671" s="4">
        <v>4500</v>
      </c>
      <c r="I671" s="5">
        <v>3</v>
      </c>
      <c r="K671" t="s">
        <v>25</v>
      </c>
    </row>
    <row r="672" spans="1:11" x14ac:dyDescent="0.3">
      <c r="A672">
        <v>1670</v>
      </c>
      <c r="B672" s="1">
        <v>46090</v>
      </c>
      <c r="C672" s="3">
        <v>0.65138888888888891</v>
      </c>
      <c r="D672" s="2">
        <f>tb_dados[[#This Row],[Data]]+tb_dados[[#This Row],[Hora]]</f>
        <v>46090.651388888888</v>
      </c>
      <c r="E672" t="s">
        <v>11</v>
      </c>
      <c r="F672" t="s">
        <v>16</v>
      </c>
      <c r="G672" t="s">
        <v>18</v>
      </c>
      <c r="H672" s="4">
        <v>120</v>
      </c>
      <c r="I672" s="5">
        <v>1</v>
      </c>
      <c r="K672" t="s">
        <v>28</v>
      </c>
    </row>
    <row r="673" spans="1:11" x14ac:dyDescent="0.3">
      <c r="A673">
        <v>1671</v>
      </c>
      <c r="B673" s="1">
        <v>46092</v>
      </c>
      <c r="C673" s="3">
        <v>0.45763888888888887</v>
      </c>
      <c r="D673" s="2">
        <f>tb_dados[[#This Row],[Data]]+tb_dados[[#This Row],[Hora]]</f>
        <v>46092.457638888889</v>
      </c>
      <c r="E673" t="s">
        <v>12</v>
      </c>
      <c r="F673" t="s">
        <v>15</v>
      </c>
      <c r="G673" t="s">
        <v>20</v>
      </c>
      <c r="H673" s="4">
        <v>420</v>
      </c>
      <c r="I673" s="5">
        <v>3</v>
      </c>
      <c r="K673" t="s">
        <v>27</v>
      </c>
    </row>
    <row r="674" spans="1:11" x14ac:dyDescent="0.3">
      <c r="A674">
        <v>1672</v>
      </c>
      <c r="B674" s="1">
        <v>46086</v>
      </c>
      <c r="C674" s="3">
        <v>0.94166666666666676</v>
      </c>
      <c r="D674" s="2">
        <f>tb_dados[[#This Row],[Data]]+tb_dados[[#This Row],[Hora]]</f>
        <v>46086.941666666666</v>
      </c>
      <c r="E674" t="s">
        <v>11</v>
      </c>
      <c r="F674" t="s">
        <v>16</v>
      </c>
      <c r="G674" t="s">
        <v>24</v>
      </c>
      <c r="H674" s="4">
        <v>280</v>
      </c>
      <c r="I674" s="5">
        <v>3</v>
      </c>
      <c r="K674" t="s">
        <v>28</v>
      </c>
    </row>
    <row r="675" spans="1:11" x14ac:dyDescent="0.3">
      <c r="A675">
        <v>1673</v>
      </c>
      <c r="B675" s="1">
        <v>46090</v>
      </c>
      <c r="C675" s="3">
        <v>0.71666666666666667</v>
      </c>
      <c r="D675" s="2">
        <f>tb_dados[[#This Row],[Data]]+tb_dados[[#This Row],[Hora]]</f>
        <v>46090.716666666667</v>
      </c>
      <c r="E675" t="s">
        <v>10</v>
      </c>
      <c r="F675" t="s">
        <v>16</v>
      </c>
      <c r="G675" t="s">
        <v>17</v>
      </c>
      <c r="H675" s="4">
        <v>900</v>
      </c>
      <c r="I675" s="5">
        <v>2</v>
      </c>
      <c r="K675" t="s">
        <v>27</v>
      </c>
    </row>
    <row r="676" spans="1:11" x14ac:dyDescent="0.3">
      <c r="A676">
        <v>1674</v>
      </c>
      <c r="B676" s="1">
        <v>46078</v>
      </c>
      <c r="C676" s="3">
        <v>0.38750000000000001</v>
      </c>
      <c r="D676" s="2">
        <f>tb_dados[[#This Row],[Data]]+tb_dados[[#This Row],[Hora]]</f>
        <v>46078.387499999997</v>
      </c>
      <c r="E676" t="s">
        <v>12</v>
      </c>
      <c r="F676" t="s">
        <v>15</v>
      </c>
      <c r="G676" t="s">
        <v>19</v>
      </c>
      <c r="H676" s="4">
        <v>850</v>
      </c>
      <c r="I676" s="5">
        <v>2</v>
      </c>
      <c r="K676" t="s">
        <v>26</v>
      </c>
    </row>
    <row r="677" spans="1:11" x14ac:dyDescent="0.3">
      <c r="A677">
        <v>1675</v>
      </c>
      <c r="B677" s="1">
        <v>46100</v>
      </c>
      <c r="C677" s="3">
        <v>0.66180555555555554</v>
      </c>
      <c r="D677" s="2">
        <f>tb_dados[[#This Row],[Data]]+tb_dados[[#This Row],[Hora]]</f>
        <v>46100.661805555559</v>
      </c>
      <c r="E677" t="s">
        <v>12</v>
      </c>
      <c r="F677" t="s">
        <v>15</v>
      </c>
      <c r="G677" t="s">
        <v>19</v>
      </c>
      <c r="H677" s="4">
        <v>850</v>
      </c>
      <c r="I677" s="5">
        <v>1</v>
      </c>
      <c r="K677" t="s">
        <v>25</v>
      </c>
    </row>
    <row r="678" spans="1:11" x14ac:dyDescent="0.3">
      <c r="A678">
        <v>1676</v>
      </c>
      <c r="B678" s="1">
        <v>46094</v>
      </c>
      <c r="C678" s="3">
        <v>0.45416666666666666</v>
      </c>
      <c r="D678" s="2">
        <f>tb_dados[[#This Row],[Data]]+tb_dados[[#This Row],[Hora]]</f>
        <v>46094.45416666667</v>
      </c>
      <c r="E678" t="s">
        <v>11</v>
      </c>
      <c r="F678" t="s">
        <v>15</v>
      </c>
      <c r="G678" t="s">
        <v>24</v>
      </c>
      <c r="H678" s="4">
        <v>280</v>
      </c>
      <c r="I678" s="5">
        <v>2</v>
      </c>
      <c r="K678" t="s">
        <v>28</v>
      </c>
    </row>
    <row r="679" spans="1:11" x14ac:dyDescent="0.3">
      <c r="A679">
        <v>1677</v>
      </c>
      <c r="B679" s="1">
        <v>46100</v>
      </c>
      <c r="C679" s="3">
        <v>0.47847222222222219</v>
      </c>
      <c r="D679" s="2">
        <f>tb_dados[[#This Row],[Data]]+tb_dados[[#This Row],[Hora]]</f>
        <v>46100.478472222225</v>
      </c>
      <c r="E679" t="s">
        <v>11</v>
      </c>
      <c r="F679" t="s">
        <v>14</v>
      </c>
      <c r="G679" t="s">
        <v>18</v>
      </c>
      <c r="H679" s="4">
        <v>120</v>
      </c>
      <c r="I679" s="5">
        <v>1</v>
      </c>
      <c r="K679" t="s">
        <v>25</v>
      </c>
    </row>
    <row r="680" spans="1:11" x14ac:dyDescent="0.3">
      <c r="A680">
        <v>1678</v>
      </c>
      <c r="B680" s="1">
        <v>46106</v>
      </c>
      <c r="C680" s="3">
        <v>0.68055555555555547</v>
      </c>
      <c r="D680" s="2">
        <f>tb_dados[[#This Row],[Data]]+tb_dados[[#This Row],[Hora]]</f>
        <v>46106.680555555555</v>
      </c>
      <c r="E680" t="s">
        <v>11</v>
      </c>
      <c r="F680" t="s">
        <v>14</v>
      </c>
      <c r="G680" t="s">
        <v>18</v>
      </c>
      <c r="H680" s="4">
        <v>120</v>
      </c>
      <c r="I680" s="5">
        <v>3</v>
      </c>
      <c r="K680" t="s">
        <v>25</v>
      </c>
    </row>
    <row r="681" spans="1:11" x14ac:dyDescent="0.3">
      <c r="A681">
        <v>1679</v>
      </c>
      <c r="B681" s="1">
        <v>46091</v>
      </c>
      <c r="C681" s="3">
        <v>0.54722222222222217</v>
      </c>
      <c r="D681" s="2">
        <f>tb_dados[[#This Row],[Data]]+tb_dados[[#This Row],[Hora]]</f>
        <v>46091.547222222223</v>
      </c>
      <c r="E681" t="s">
        <v>11</v>
      </c>
      <c r="F681" t="s">
        <v>14</v>
      </c>
      <c r="G681" t="s">
        <v>24</v>
      </c>
      <c r="H681" s="4">
        <v>280</v>
      </c>
      <c r="I681" s="5">
        <v>2</v>
      </c>
      <c r="K681" t="s">
        <v>25</v>
      </c>
    </row>
    <row r="682" spans="1:11" x14ac:dyDescent="0.3">
      <c r="A682">
        <v>1680</v>
      </c>
      <c r="B682" s="1">
        <v>46107</v>
      </c>
      <c r="C682" s="3">
        <v>0.52430555555555558</v>
      </c>
      <c r="D682" s="2">
        <f>tb_dados[[#This Row],[Data]]+tb_dados[[#This Row],[Hora]]</f>
        <v>46107.524305555555</v>
      </c>
      <c r="E682" t="s">
        <v>11</v>
      </c>
      <c r="F682" t="s">
        <v>15</v>
      </c>
      <c r="G682" t="s">
        <v>18</v>
      </c>
      <c r="H682" s="4">
        <v>120</v>
      </c>
      <c r="I682" s="5">
        <v>1</v>
      </c>
      <c r="K682" t="s">
        <v>27</v>
      </c>
    </row>
    <row r="683" spans="1:11" x14ac:dyDescent="0.3">
      <c r="A683">
        <v>1681</v>
      </c>
      <c r="B683" s="1">
        <v>46094</v>
      </c>
      <c r="C683" s="3">
        <v>0.38541666666666669</v>
      </c>
      <c r="D683" s="2">
        <f>tb_dados[[#This Row],[Data]]+tb_dados[[#This Row],[Hora]]</f>
        <v>46094.385416666664</v>
      </c>
      <c r="E683" t="s">
        <v>12</v>
      </c>
      <c r="F683" t="s">
        <v>15</v>
      </c>
      <c r="G683" t="s">
        <v>20</v>
      </c>
      <c r="H683" s="4">
        <v>420</v>
      </c>
      <c r="I683" s="5">
        <v>1</v>
      </c>
      <c r="K683" t="s">
        <v>28</v>
      </c>
    </row>
    <row r="684" spans="1:11" x14ac:dyDescent="0.3">
      <c r="A684">
        <v>1682</v>
      </c>
      <c r="B684" s="1">
        <v>46083</v>
      </c>
      <c r="C684" s="3">
        <v>0.92152777777777783</v>
      </c>
      <c r="D684" s="2">
        <f>tb_dados[[#This Row],[Data]]+tb_dados[[#This Row],[Hora]]</f>
        <v>46083.921527777777</v>
      </c>
      <c r="E684" t="s">
        <v>10</v>
      </c>
      <c r="F684" t="s">
        <v>15</v>
      </c>
      <c r="G684" t="s">
        <v>22</v>
      </c>
      <c r="H684" s="4">
        <v>2100</v>
      </c>
      <c r="I684" s="5">
        <v>1</v>
      </c>
      <c r="K684" t="s">
        <v>27</v>
      </c>
    </row>
    <row r="685" spans="1:11" x14ac:dyDescent="0.3">
      <c r="A685">
        <v>1683</v>
      </c>
      <c r="B685" s="1">
        <v>46100</v>
      </c>
      <c r="C685" s="3">
        <v>0.61388888888888882</v>
      </c>
      <c r="D685" s="2">
        <f>tb_dados[[#This Row],[Data]]+tb_dados[[#This Row],[Hora]]</f>
        <v>46100.613888888889</v>
      </c>
      <c r="E685" t="s">
        <v>11</v>
      </c>
      <c r="F685" t="s">
        <v>16</v>
      </c>
      <c r="G685" t="s">
        <v>18</v>
      </c>
      <c r="H685" s="4">
        <v>120</v>
      </c>
      <c r="I685" s="5">
        <v>1</v>
      </c>
      <c r="K685" t="s">
        <v>26</v>
      </c>
    </row>
    <row r="686" spans="1:11" x14ac:dyDescent="0.3">
      <c r="A686">
        <v>1684</v>
      </c>
      <c r="B686" s="1">
        <v>46091</v>
      </c>
      <c r="C686" s="3">
        <v>0.67569444444444438</v>
      </c>
      <c r="D686" s="2">
        <f>tb_dados[[#This Row],[Data]]+tb_dados[[#This Row],[Hora]]</f>
        <v>46091.675694444442</v>
      </c>
      <c r="E686" t="s">
        <v>12</v>
      </c>
      <c r="F686" t="s">
        <v>14</v>
      </c>
      <c r="G686" t="s">
        <v>19</v>
      </c>
      <c r="H686" s="4">
        <v>850</v>
      </c>
      <c r="I686" s="5">
        <v>2</v>
      </c>
      <c r="K686" t="s">
        <v>26</v>
      </c>
    </row>
    <row r="687" spans="1:11" x14ac:dyDescent="0.3">
      <c r="A687">
        <v>1685</v>
      </c>
      <c r="B687" s="1">
        <v>46087</v>
      </c>
      <c r="C687" s="3">
        <v>0.94444444444444453</v>
      </c>
      <c r="D687" s="2">
        <f>tb_dados[[#This Row],[Data]]+tb_dados[[#This Row],[Hora]]</f>
        <v>46087.944444444445</v>
      </c>
      <c r="E687" t="s">
        <v>12</v>
      </c>
      <c r="F687" t="s">
        <v>13</v>
      </c>
      <c r="G687" t="s">
        <v>19</v>
      </c>
      <c r="H687" s="4">
        <v>850</v>
      </c>
      <c r="I687" s="5">
        <v>1</v>
      </c>
      <c r="K687" t="s">
        <v>27</v>
      </c>
    </row>
    <row r="688" spans="1:11" x14ac:dyDescent="0.3">
      <c r="A688">
        <v>1686</v>
      </c>
      <c r="B688" s="1">
        <v>46100</v>
      </c>
      <c r="C688" s="3">
        <v>0.87222222222222223</v>
      </c>
      <c r="D688" s="2">
        <f>tb_dados[[#This Row],[Data]]+tb_dados[[#This Row],[Hora]]</f>
        <v>46100.87222222222</v>
      </c>
      <c r="E688" t="s">
        <v>10</v>
      </c>
      <c r="F688" t="s">
        <v>16</v>
      </c>
      <c r="G688" t="s">
        <v>22</v>
      </c>
      <c r="H688" s="4">
        <v>2100</v>
      </c>
      <c r="I688" s="5">
        <v>3</v>
      </c>
      <c r="K688" t="s">
        <v>28</v>
      </c>
    </row>
    <row r="689" spans="1:11" x14ac:dyDescent="0.3">
      <c r="A689">
        <v>1687</v>
      </c>
      <c r="B689" s="1">
        <v>46085</v>
      </c>
      <c r="C689" s="3">
        <v>0.45902777777777781</v>
      </c>
      <c r="D689" s="2">
        <f>tb_dados[[#This Row],[Data]]+tb_dados[[#This Row],[Hora]]</f>
        <v>46085.459027777775</v>
      </c>
      <c r="E689" t="s">
        <v>11</v>
      </c>
      <c r="F689" t="s">
        <v>13</v>
      </c>
      <c r="G689" t="s">
        <v>24</v>
      </c>
      <c r="H689" s="4">
        <v>280</v>
      </c>
      <c r="I689" s="5">
        <v>3</v>
      </c>
      <c r="K689" t="s">
        <v>27</v>
      </c>
    </row>
    <row r="690" spans="1:11" x14ac:dyDescent="0.3">
      <c r="A690">
        <v>1688</v>
      </c>
      <c r="B690" s="1">
        <v>46101</v>
      </c>
      <c r="C690" s="3">
        <v>0.66388888888888886</v>
      </c>
      <c r="D690" s="2">
        <f>tb_dados[[#This Row],[Data]]+tb_dados[[#This Row],[Hora]]</f>
        <v>46101.663888888892</v>
      </c>
      <c r="E690" t="s">
        <v>11</v>
      </c>
      <c r="F690" t="s">
        <v>16</v>
      </c>
      <c r="G690" t="s">
        <v>21</v>
      </c>
      <c r="H690" s="4">
        <v>350</v>
      </c>
      <c r="I690" s="5">
        <v>1</v>
      </c>
      <c r="K690" t="s">
        <v>27</v>
      </c>
    </row>
    <row r="691" spans="1:11" x14ac:dyDescent="0.3">
      <c r="A691">
        <v>1689</v>
      </c>
      <c r="B691" s="1">
        <v>46099</v>
      </c>
      <c r="C691" s="3">
        <v>0.91388888888888886</v>
      </c>
      <c r="D691" s="2">
        <f>tb_dados[[#This Row],[Data]]+tb_dados[[#This Row],[Hora]]</f>
        <v>46099.913888888892</v>
      </c>
      <c r="E691" t="s">
        <v>11</v>
      </c>
      <c r="F691" t="s">
        <v>14</v>
      </c>
      <c r="G691" t="s">
        <v>18</v>
      </c>
      <c r="H691" s="4">
        <v>120</v>
      </c>
      <c r="I691" s="5">
        <v>1</v>
      </c>
      <c r="K691" t="s">
        <v>25</v>
      </c>
    </row>
    <row r="692" spans="1:11" x14ac:dyDescent="0.3">
      <c r="A692">
        <v>1690</v>
      </c>
      <c r="B692" s="1">
        <v>46087</v>
      </c>
      <c r="C692" s="3">
        <v>0.70277777777777783</v>
      </c>
      <c r="D692" s="2">
        <f>tb_dados[[#This Row],[Data]]+tb_dados[[#This Row],[Hora]]</f>
        <v>46087.702777777777</v>
      </c>
      <c r="E692" t="s">
        <v>11</v>
      </c>
      <c r="F692" t="s">
        <v>13</v>
      </c>
      <c r="G692" t="s">
        <v>21</v>
      </c>
      <c r="H692" s="4">
        <v>350</v>
      </c>
      <c r="I692" s="5">
        <v>3</v>
      </c>
      <c r="K692" t="s">
        <v>28</v>
      </c>
    </row>
    <row r="693" spans="1:11" x14ac:dyDescent="0.3">
      <c r="A693">
        <v>1691</v>
      </c>
      <c r="B693" s="1">
        <v>46095</v>
      </c>
      <c r="C693" s="3">
        <v>0.9458333333333333</v>
      </c>
      <c r="D693" s="2">
        <f>tb_dados[[#This Row],[Data]]+tb_dados[[#This Row],[Hora]]</f>
        <v>46095.945833333331</v>
      </c>
      <c r="E693" t="s">
        <v>12</v>
      </c>
      <c r="F693" t="s">
        <v>15</v>
      </c>
      <c r="G693" t="s">
        <v>20</v>
      </c>
      <c r="H693" s="4">
        <v>420</v>
      </c>
      <c r="I693" s="5">
        <v>1</v>
      </c>
      <c r="K693" t="s">
        <v>26</v>
      </c>
    </row>
    <row r="694" spans="1:11" x14ac:dyDescent="0.3">
      <c r="A694">
        <v>1692</v>
      </c>
      <c r="B694" s="1">
        <v>46092</v>
      </c>
      <c r="C694" s="3">
        <v>0.375</v>
      </c>
      <c r="D694" s="2">
        <f>tb_dados[[#This Row],[Data]]+tb_dados[[#This Row],[Hora]]</f>
        <v>46092.375</v>
      </c>
      <c r="E694" t="s">
        <v>10</v>
      </c>
      <c r="F694" t="s">
        <v>16</v>
      </c>
      <c r="G694" t="s">
        <v>23</v>
      </c>
      <c r="H694" s="4">
        <v>4500</v>
      </c>
      <c r="I694" s="5">
        <v>2</v>
      </c>
      <c r="K694" t="s">
        <v>28</v>
      </c>
    </row>
    <row r="695" spans="1:11" x14ac:dyDescent="0.3">
      <c r="A695">
        <v>1693</v>
      </c>
      <c r="B695" s="1">
        <v>46101</v>
      </c>
      <c r="C695" s="3">
        <v>0.66180555555555554</v>
      </c>
      <c r="D695" s="2">
        <f>tb_dados[[#This Row],[Data]]+tb_dados[[#This Row],[Hora]]</f>
        <v>46101.661805555559</v>
      </c>
      <c r="E695" t="s">
        <v>10</v>
      </c>
      <c r="F695" t="s">
        <v>14</v>
      </c>
      <c r="G695" t="s">
        <v>22</v>
      </c>
      <c r="H695" s="4">
        <v>2100</v>
      </c>
      <c r="I695" s="5">
        <v>1</v>
      </c>
      <c r="K695" t="s">
        <v>28</v>
      </c>
    </row>
    <row r="696" spans="1:11" x14ac:dyDescent="0.3">
      <c r="A696">
        <v>1694</v>
      </c>
      <c r="B696" s="1">
        <v>46082</v>
      </c>
      <c r="C696" s="3">
        <v>0.66875000000000007</v>
      </c>
      <c r="D696" s="2">
        <f>tb_dados[[#This Row],[Data]]+tb_dados[[#This Row],[Hora]]</f>
        <v>46082.668749999997</v>
      </c>
      <c r="E696" t="s">
        <v>10</v>
      </c>
      <c r="F696" t="s">
        <v>16</v>
      </c>
      <c r="G696" t="s">
        <v>23</v>
      </c>
      <c r="H696" s="4">
        <v>4500</v>
      </c>
      <c r="I696" s="5">
        <v>3</v>
      </c>
      <c r="K696" t="s">
        <v>27</v>
      </c>
    </row>
    <row r="697" spans="1:11" x14ac:dyDescent="0.3">
      <c r="A697">
        <v>1695</v>
      </c>
      <c r="B697" s="1">
        <v>46086</v>
      </c>
      <c r="C697" s="3">
        <v>0.65625</v>
      </c>
      <c r="D697" s="2">
        <f>tb_dados[[#This Row],[Data]]+tb_dados[[#This Row],[Hora]]</f>
        <v>46086.65625</v>
      </c>
      <c r="E697" t="s">
        <v>12</v>
      </c>
      <c r="F697" t="s">
        <v>15</v>
      </c>
      <c r="G697" t="s">
        <v>20</v>
      </c>
      <c r="H697" s="4">
        <v>420</v>
      </c>
      <c r="I697" s="5">
        <v>2</v>
      </c>
      <c r="K697" t="s">
        <v>26</v>
      </c>
    </row>
    <row r="698" spans="1:11" x14ac:dyDescent="0.3">
      <c r="A698">
        <v>1696</v>
      </c>
      <c r="B698" s="1">
        <v>46092</v>
      </c>
      <c r="C698" s="3">
        <v>0.52708333333333335</v>
      </c>
      <c r="D698" s="2">
        <f>tb_dados[[#This Row],[Data]]+tb_dados[[#This Row],[Hora]]</f>
        <v>46092.527083333334</v>
      </c>
      <c r="E698" t="s">
        <v>12</v>
      </c>
      <c r="F698" t="s">
        <v>14</v>
      </c>
      <c r="G698" t="s">
        <v>19</v>
      </c>
      <c r="H698" s="4">
        <v>850</v>
      </c>
      <c r="I698" s="5">
        <v>1</v>
      </c>
      <c r="K698" t="s">
        <v>28</v>
      </c>
    </row>
    <row r="699" spans="1:11" x14ac:dyDescent="0.3">
      <c r="A699">
        <v>1697</v>
      </c>
      <c r="B699" s="1">
        <v>46088</v>
      </c>
      <c r="C699" s="3">
        <v>0.35625000000000001</v>
      </c>
      <c r="D699" s="2">
        <f>tb_dados[[#This Row],[Data]]+tb_dados[[#This Row],[Hora]]</f>
        <v>46088.356249999997</v>
      </c>
      <c r="E699" t="s">
        <v>12</v>
      </c>
      <c r="F699" t="s">
        <v>14</v>
      </c>
      <c r="G699" t="s">
        <v>19</v>
      </c>
      <c r="H699" s="4">
        <v>850</v>
      </c>
      <c r="I699" s="5">
        <v>2</v>
      </c>
      <c r="K699" t="s">
        <v>25</v>
      </c>
    </row>
    <row r="700" spans="1:11" x14ac:dyDescent="0.3">
      <c r="A700">
        <v>1698</v>
      </c>
      <c r="B700" s="1">
        <v>46091</v>
      </c>
      <c r="C700" s="3">
        <v>0.93055555555555547</v>
      </c>
      <c r="D700" s="2">
        <f>tb_dados[[#This Row],[Data]]+tb_dados[[#This Row],[Hora]]</f>
        <v>46091.930555555555</v>
      </c>
      <c r="E700" t="s">
        <v>11</v>
      </c>
      <c r="F700" t="s">
        <v>13</v>
      </c>
      <c r="G700" t="s">
        <v>24</v>
      </c>
      <c r="H700" s="4">
        <v>280</v>
      </c>
      <c r="I700" s="5">
        <v>2</v>
      </c>
      <c r="K700" t="s">
        <v>25</v>
      </c>
    </row>
    <row r="701" spans="1:11" x14ac:dyDescent="0.3">
      <c r="A701">
        <v>1699</v>
      </c>
      <c r="B701" s="1">
        <v>46084</v>
      </c>
      <c r="C701" s="3">
        <v>0.69097222222222221</v>
      </c>
      <c r="D701" s="2">
        <f>tb_dados[[#This Row],[Data]]+tb_dados[[#This Row],[Hora]]</f>
        <v>46084.690972222219</v>
      </c>
      <c r="E701" t="s">
        <v>11</v>
      </c>
      <c r="F701" t="s">
        <v>15</v>
      </c>
      <c r="G701" t="s">
        <v>21</v>
      </c>
      <c r="H701" s="4">
        <v>350</v>
      </c>
      <c r="I701" s="5">
        <v>3</v>
      </c>
      <c r="K701" t="s">
        <v>27</v>
      </c>
    </row>
    <row r="702" spans="1:11" x14ac:dyDescent="0.3">
      <c r="A702">
        <v>1700</v>
      </c>
      <c r="B702" s="1">
        <v>46093</v>
      </c>
      <c r="C702" s="3">
        <v>0.76388888888888884</v>
      </c>
      <c r="D702" s="2">
        <f>tb_dados[[#This Row],[Data]]+tb_dados[[#This Row],[Hora]]</f>
        <v>46093.763888888891</v>
      </c>
      <c r="E702" t="s">
        <v>10</v>
      </c>
      <c r="F702" t="s">
        <v>16</v>
      </c>
      <c r="G702" t="s">
        <v>23</v>
      </c>
      <c r="H702" s="4">
        <v>4500</v>
      </c>
      <c r="I702" s="5">
        <v>1</v>
      </c>
      <c r="K702" t="s">
        <v>28</v>
      </c>
    </row>
    <row r="703" spans="1:11" x14ac:dyDescent="0.3">
      <c r="A703">
        <v>1701</v>
      </c>
      <c r="B703" s="1">
        <v>46104</v>
      </c>
      <c r="C703" s="3">
        <v>0.91180555555555554</v>
      </c>
      <c r="D703" s="2">
        <f>tb_dados[[#This Row],[Data]]+tb_dados[[#This Row],[Hora]]</f>
        <v>46104.911805555559</v>
      </c>
      <c r="E703" t="s">
        <v>11</v>
      </c>
      <c r="F703" t="s">
        <v>13</v>
      </c>
      <c r="G703" t="s">
        <v>24</v>
      </c>
      <c r="H703" s="4">
        <v>280</v>
      </c>
      <c r="I703" s="5">
        <v>2</v>
      </c>
      <c r="K703" t="s">
        <v>28</v>
      </c>
    </row>
    <row r="704" spans="1:11" x14ac:dyDescent="0.3">
      <c r="A704">
        <v>1702</v>
      </c>
      <c r="B704" s="1">
        <v>46101</v>
      </c>
      <c r="C704" s="3">
        <v>0.48194444444444445</v>
      </c>
      <c r="D704" s="2">
        <f>tb_dados[[#This Row],[Data]]+tb_dados[[#This Row],[Hora]]</f>
        <v>46101.481944444444</v>
      </c>
      <c r="E704" t="s">
        <v>11</v>
      </c>
      <c r="F704" t="s">
        <v>14</v>
      </c>
      <c r="G704" t="s">
        <v>21</v>
      </c>
      <c r="H704" s="4">
        <v>350</v>
      </c>
      <c r="I704" s="5">
        <v>2</v>
      </c>
      <c r="K704" t="s">
        <v>25</v>
      </c>
    </row>
    <row r="705" spans="1:11" x14ac:dyDescent="0.3">
      <c r="A705">
        <v>1703</v>
      </c>
      <c r="B705" s="1">
        <v>46081</v>
      </c>
      <c r="C705" s="3">
        <v>0.5493055555555556</v>
      </c>
      <c r="D705" s="2">
        <f>tb_dados[[#This Row],[Data]]+tb_dados[[#This Row],[Hora]]</f>
        <v>46081.549305555556</v>
      </c>
      <c r="E705" t="s">
        <v>12</v>
      </c>
      <c r="F705" t="s">
        <v>14</v>
      </c>
      <c r="G705" t="s">
        <v>19</v>
      </c>
      <c r="H705" s="4">
        <v>850</v>
      </c>
      <c r="I705" s="5">
        <v>3</v>
      </c>
      <c r="K705" t="s">
        <v>25</v>
      </c>
    </row>
    <row r="706" spans="1:11" x14ac:dyDescent="0.3">
      <c r="A706">
        <v>1704</v>
      </c>
      <c r="B706" s="1">
        <v>46101</v>
      </c>
      <c r="C706" s="3">
        <v>0.59652777777777777</v>
      </c>
      <c r="D706" s="2">
        <f>tb_dados[[#This Row],[Data]]+tb_dados[[#This Row],[Hora]]</f>
        <v>46101.59652777778</v>
      </c>
      <c r="E706" t="s">
        <v>10</v>
      </c>
      <c r="F706" t="s">
        <v>14</v>
      </c>
      <c r="G706" t="s">
        <v>17</v>
      </c>
      <c r="H706" s="4">
        <v>900</v>
      </c>
      <c r="I706" s="5">
        <v>2</v>
      </c>
      <c r="K706" t="s">
        <v>26</v>
      </c>
    </row>
    <row r="707" spans="1:11" x14ac:dyDescent="0.3">
      <c r="A707">
        <v>1705</v>
      </c>
      <c r="B707" s="1">
        <v>46100</v>
      </c>
      <c r="C707" s="3">
        <v>0.7909722222222223</v>
      </c>
      <c r="D707" s="2">
        <f>tb_dados[[#This Row],[Data]]+tb_dados[[#This Row],[Hora]]</f>
        <v>46100.790972222225</v>
      </c>
      <c r="E707" t="s">
        <v>11</v>
      </c>
      <c r="F707" t="s">
        <v>14</v>
      </c>
      <c r="G707" t="s">
        <v>21</v>
      </c>
      <c r="H707" s="4">
        <v>350</v>
      </c>
      <c r="I707" s="5">
        <v>1</v>
      </c>
      <c r="K707" t="s">
        <v>25</v>
      </c>
    </row>
    <row r="708" spans="1:11" x14ac:dyDescent="0.3">
      <c r="A708">
        <v>1706</v>
      </c>
      <c r="B708" s="1">
        <v>46080</v>
      </c>
      <c r="C708" s="3">
        <v>0.95694444444444438</v>
      </c>
      <c r="D708" s="2">
        <f>tb_dados[[#This Row],[Data]]+tb_dados[[#This Row],[Hora]]</f>
        <v>46080.956944444442</v>
      </c>
      <c r="E708" t="s">
        <v>10</v>
      </c>
      <c r="F708" t="s">
        <v>16</v>
      </c>
      <c r="G708" t="s">
        <v>23</v>
      </c>
      <c r="H708" s="4">
        <v>4500</v>
      </c>
      <c r="I708" s="5">
        <v>1</v>
      </c>
      <c r="K708" t="s">
        <v>28</v>
      </c>
    </row>
    <row r="709" spans="1:11" x14ac:dyDescent="0.3">
      <c r="A709">
        <v>1707</v>
      </c>
      <c r="B709" s="1">
        <v>46102</v>
      </c>
      <c r="C709" s="3">
        <v>0.51180555555555551</v>
      </c>
      <c r="D709" s="2">
        <f>tb_dados[[#This Row],[Data]]+tb_dados[[#This Row],[Hora]]</f>
        <v>46102.511805555558</v>
      </c>
      <c r="E709" t="s">
        <v>12</v>
      </c>
      <c r="F709" t="s">
        <v>15</v>
      </c>
      <c r="G709" t="s">
        <v>20</v>
      </c>
      <c r="H709" s="4">
        <v>420</v>
      </c>
      <c r="I709" s="5">
        <v>1</v>
      </c>
      <c r="K709" t="s">
        <v>26</v>
      </c>
    </row>
    <row r="710" spans="1:11" x14ac:dyDescent="0.3">
      <c r="A710">
        <v>1708</v>
      </c>
      <c r="B710" s="1">
        <v>46091</v>
      </c>
      <c r="C710" s="3">
        <v>0.79513888888888884</v>
      </c>
      <c r="D710" s="2">
        <f>tb_dados[[#This Row],[Data]]+tb_dados[[#This Row],[Hora]]</f>
        <v>46091.795138888891</v>
      </c>
      <c r="E710" t="s">
        <v>11</v>
      </c>
      <c r="F710" t="s">
        <v>13</v>
      </c>
      <c r="G710" t="s">
        <v>24</v>
      </c>
      <c r="H710" s="4">
        <v>280</v>
      </c>
      <c r="I710" s="5">
        <v>1</v>
      </c>
      <c r="K710" t="s">
        <v>25</v>
      </c>
    </row>
    <row r="711" spans="1:11" x14ac:dyDescent="0.3">
      <c r="A711">
        <v>1709</v>
      </c>
      <c r="B711" s="1">
        <v>46104</v>
      </c>
      <c r="C711" s="3">
        <v>0.72986111111111107</v>
      </c>
      <c r="D711" s="2">
        <f>tb_dados[[#This Row],[Data]]+tb_dados[[#This Row],[Hora]]</f>
        <v>46104.729861111111</v>
      </c>
      <c r="E711" t="s">
        <v>12</v>
      </c>
      <c r="F711" t="s">
        <v>15</v>
      </c>
      <c r="G711" t="s">
        <v>20</v>
      </c>
      <c r="H711" s="4">
        <v>420</v>
      </c>
      <c r="I711" s="5">
        <v>1</v>
      </c>
      <c r="K711" t="s">
        <v>26</v>
      </c>
    </row>
    <row r="712" spans="1:11" x14ac:dyDescent="0.3">
      <c r="A712">
        <v>1710</v>
      </c>
      <c r="B712" s="1">
        <v>46084</v>
      </c>
      <c r="C712" s="3">
        <v>0.70138888888888884</v>
      </c>
      <c r="D712" s="2">
        <f>tb_dados[[#This Row],[Data]]+tb_dados[[#This Row],[Hora]]</f>
        <v>46084.701388888891</v>
      </c>
      <c r="E712" t="s">
        <v>12</v>
      </c>
      <c r="F712" t="s">
        <v>14</v>
      </c>
      <c r="G712" t="s">
        <v>20</v>
      </c>
      <c r="H712" s="4">
        <v>420</v>
      </c>
      <c r="I712" s="5">
        <v>1</v>
      </c>
      <c r="K712" t="s">
        <v>27</v>
      </c>
    </row>
    <row r="713" spans="1:11" x14ac:dyDescent="0.3">
      <c r="A713">
        <v>1711</v>
      </c>
      <c r="B713" s="1">
        <v>46082</v>
      </c>
      <c r="C713" s="3">
        <v>0.33680555555555558</v>
      </c>
      <c r="D713" s="2">
        <f>tb_dados[[#This Row],[Data]]+tb_dados[[#This Row],[Hora]]</f>
        <v>46082.336805555555</v>
      </c>
      <c r="E713" t="s">
        <v>11</v>
      </c>
      <c r="F713" t="s">
        <v>13</v>
      </c>
      <c r="G713" t="s">
        <v>21</v>
      </c>
      <c r="H713" s="4">
        <v>350</v>
      </c>
      <c r="I713" s="5">
        <v>1</v>
      </c>
      <c r="K713" t="s">
        <v>25</v>
      </c>
    </row>
    <row r="714" spans="1:11" x14ac:dyDescent="0.3">
      <c r="A714">
        <v>1712</v>
      </c>
      <c r="B714" s="1">
        <v>46093</v>
      </c>
      <c r="C714" s="3">
        <v>0.72986111111111107</v>
      </c>
      <c r="D714" s="2">
        <f>tb_dados[[#This Row],[Data]]+tb_dados[[#This Row],[Hora]]</f>
        <v>46093.729861111111</v>
      </c>
      <c r="E714" t="s">
        <v>10</v>
      </c>
      <c r="F714" t="s">
        <v>15</v>
      </c>
      <c r="G714" t="s">
        <v>23</v>
      </c>
      <c r="H714" s="4">
        <v>4500</v>
      </c>
      <c r="I714" s="5">
        <v>2</v>
      </c>
      <c r="K714" t="s">
        <v>25</v>
      </c>
    </row>
    <row r="715" spans="1:11" x14ac:dyDescent="0.3">
      <c r="A715">
        <v>1713</v>
      </c>
      <c r="B715" s="1">
        <v>46098</v>
      </c>
      <c r="C715" s="3">
        <v>0.65625</v>
      </c>
      <c r="D715" s="2">
        <f>tb_dados[[#This Row],[Data]]+tb_dados[[#This Row],[Hora]]</f>
        <v>46098.65625</v>
      </c>
      <c r="E715" t="s">
        <v>11</v>
      </c>
      <c r="F715" t="s">
        <v>15</v>
      </c>
      <c r="G715" t="s">
        <v>24</v>
      </c>
      <c r="H715" s="4">
        <v>280</v>
      </c>
      <c r="I715" s="5">
        <v>2</v>
      </c>
      <c r="K715" t="s">
        <v>27</v>
      </c>
    </row>
    <row r="716" spans="1:11" x14ac:dyDescent="0.3">
      <c r="A716">
        <v>1714</v>
      </c>
      <c r="B716" s="1">
        <v>46107</v>
      </c>
      <c r="C716" s="3">
        <v>0.65833333333333333</v>
      </c>
      <c r="D716" s="2">
        <f>tb_dados[[#This Row],[Data]]+tb_dados[[#This Row],[Hora]]</f>
        <v>46107.658333333333</v>
      </c>
      <c r="E716" t="s">
        <v>12</v>
      </c>
      <c r="F716" t="s">
        <v>16</v>
      </c>
      <c r="G716" t="s">
        <v>20</v>
      </c>
      <c r="H716" s="4">
        <v>420</v>
      </c>
      <c r="I716" s="5">
        <v>1</v>
      </c>
      <c r="K716" t="s">
        <v>26</v>
      </c>
    </row>
    <row r="717" spans="1:11" x14ac:dyDescent="0.3">
      <c r="A717">
        <v>1715</v>
      </c>
      <c r="B717" s="1">
        <v>46104</v>
      </c>
      <c r="C717" s="3">
        <v>0.66527777777777775</v>
      </c>
      <c r="D717" s="2">
        <f>tb_dados[[#This Row],[Data]]+tb_dados[[#This Row],[Hora]]</f>
        <v>46104.665277777778</v>
      </c>
      <c r="E717" t="s">
        <v>11</v>
      </c>
      <c r="F717" t="s">
        <v>14</v>
      </c>
      <c r="G717" t="s">
        <v>18</v>
      </c>
      <c r="H717" s="4">
        <v>120</v>
      </c>
      <c r="I717" s="5">
        <v>2</v>
      </c>
      <c r="K717" t="s">
        <v>26</v>
      </c>
    </row>
    <row r="718" spans="1:11" x14ac:dyDescent="0.3">
      <c r="A718">
        <v>1716</v>
      </c>
      <c r="B718" s="1">
        <v>46105</v>
      </c>
      <c r="C718" s="3">
        <v>0.53749999999999998</v>
      </c>
      <c r="D718" s="2">
        <f>tb_dados[[#This Row],[Data]]+tb_dados[[#This Row],[Hora]]</f>
        <v>46105.537499999999</v>
      </c>
      <c r="E718" t="s">
        <v>11</v>
      </c>
      <c r="F718" t="s">
        <v>15</v>
      </c>
      <c r="G718" t="s">
        <v>24</v>
      </c>
      <c r="H718" s="4">
        <v>280</v>
      </c>
      <c r="I718" s="5">
        <v>3</v>
      </c>
      <c r="K718" t="s">
        <v>27</v>
      </c>
    </row>
    <row r="719" spans="1:11" x14ac:dyDescent="0.3">
      <c r="A719">
        <v>1717</v>
      </c>
      <c r="B719" s="1">
        <v>46090</v>
      </c>
      <c r="C719" s="3">
        <v>0.78333333333333333</v>
      </c>
      <c r="D719" s="2">
        <f>tb_dados[[#This Row],[Data]]+tb_dados[[#This Row],[Hora]]</f>
        <v>46090.783333333333</v>
      </c>
      <c r="E719" t="s">
        <v>12</v>
      </c>
      <c r="F719" t="s">
        <v>15</v>
      </c>
      <c r="G719" t="s">
        <v>20</v>
      </c>
      <c r="H719" s="4">
        <v>420</v>
      </c>
      <c r="I719" s="5">
        <v>2</v>
      </c>
      <c r="K719" t="s">
        <v>25</v>
      </c>
    </row>
    <row r="720" spans="1:11" x14ac:dyDescent="0.3">
      <c r="A720">
        <v>1718</v>
      </c>
      <c r="B720" s="1">
        <v>46090</v>
      </c>
      <c r="C720" s="3">
        <v>0.54791666666666672</v>
      </c>
      <c r="D720" s="2">
        <f>tb_dados[[#This Row],[Data]]+tb_dados[[#This Row],[Hora]]</f>
        <v>46090.54791666667</v>
      </c>
      <c r="E720" t="s">
        <v>12</v>
      </c>
      <c r="F720" t="s">
        <v>16</v>
      </c>
      <c r="G720" t="s">
        <v>20</v>
      </c>
      <c r="H720" s="4">
        <v>420</v>
      </c>
      <c r="I720" s="5">
        <v>1</v>
      </c>
      <c r="K720" t="s">
        <v>26</v>
      </c>
    </row>
    <row r="721" spans="1:11" x14ac:dyDescent="0.3">
      <c r="A721">
        <v>1719</v>
      </c>
      <c r="B721" s="1">
        <v>46098</v>
      </c>
      <c r="C721" s="3">
        <v>0.91388888888888886</v>
      </c>
      <c r="D721" s="2">
        <f>tb_dados[[#This Row],[Data]]+tb_dados[[#This Row],[Hora]]</f>
        <v>46098.913888888892</v>
      </c>
      <c r="E721" t="s">
        <v>11</v>
      </c>
      <c r="F721" t="s">
        <v>14</v>
      </c>
      <c r="G721" t="s">
        <v>18</v>
      </c>
      <c r="H721" s="4">
        <v>120</v>
      </c>
      <c r="I721" s="5">
        <v>3</v>
      </c>
      <c r="K721" t="s">
        <v>28</v>
      </c>
    </row>
    <row r="722" spans="1:11" x14ac:dyDescent="0.3">
      <c r="A722">
        <v>1720</v>
      </c>
      <c r="B722" s="1">
        <v>46098</v>
      </c>
      <c r="C722" s="3">
        <v>0.55069444444444449</v>
      </c>
      <c r="D722" s="2">
        <f>tb_dados[[#This Row],[Data]]+tb_dados[[#This Row],[Hora]]</f>
        <v>46098.550694444442</v>
      </c>
      <c r="E722" t="s">
        <v>10</v>
      </c>
      <c r="F722" t="s">
        <v>14</v>
      </c>
      <c r="G722" t="s">
        <v>22</v>
      </c>
      <c r="H722" s="4">
        <v>2100</v>
      </c>
      <c r="I722" s="5">
        <v>3</v>
      </c>
      <c r="K722" t="s">
        <v>28</v>
      </c>
    </row>
    <row r="723" spans="1:11" x14ac:dyDescent="0.3">
      <c r="A723">
        <v>1721</v>
      </c>
      <c r="B723" s="1">
        <v>46100</v>
      </c>
      <c r="C723" s="3">
        <v>0.86111111111111116</v>
      </c>
      <c r="D723" s="2">
        <f>tb_dados[[#This Row],[Data]]+tb_dados[[#This Row],[Hora]]</f>
        <v>46100.861111111109</v>
      </c>
      <c r="E723" t="s">
        <v>10</v>
      </c>
      <c r="F723" t="s">
        <v>13</v>
      </c>
      <c r="G723" t="s">
        <v>22</v>
      </c>
      <c r="H723" s="4">
        <v>2100</v>
      </c>
      <c r="I723" s="5">
        <v>2</v>
      </c>
      <c r="K723" t="s">
        <v>25</v>
      </c>
    </row>
    <row r="724" spans="1:11" x14ac:dyDescent="0.3">
      <c r="A724">
        <v>1722</v>
      </c>
      <c r="B724" s="1">
        <v>46078</v>
      </c>
      <c r="C724" s="3">
        <v>0.58958333333333335</v>
      </c>
      <c r="D724" s="2">
        <f>tb_dados[[#This Row],[Data]]+tb_dados[[#This Row],[Hora]]</f>
        <v>46078.589583333334</v>
      </c>
      <c r="E724" t="s">
        <v>10</v>
      </c>
      <c r="F724" t="s">
        <v>15</v>
      </c>
      <c r="G724" t="s">
        <v>23</v>
      </c>
      <c r="H724" s="4">
        <v>4500</v>
      </c>
      <c r="I724" s="5">
        <v>3</v>
      </c>
      <c r="K724" t="s">
        <v>27</v>
      </c>
    </row>
    <row r="725" spans="1:11" x14ac:dyDescent="0.3">
      <c r="A725">
        <v>1723</v>
      </c>
      <c r="B725" s="1">
        <v>46108</v>
      </c>
      <c r="C725" s="3">
        <v>0.38750000000000001</v>
      </c>
      <c r="D725" s="2">
        <f>tb_dados[[#This Row],[Data]]+tb_dados[[#This Row],[Hora]]</f>
        <v>46108.387499999997</v>
      </c>
      <c r="E725" t="s">
        <v>10</v>
      </c>
      <c r="F725" t="s">
        <v>14</v>
      </c>
      <c r="G725" t="s">
        <v>17</v>
      </c>
      <c r="H725" s="4">
        <v>900</v>
      </c>
      <c r="I725" s="5">
        <v>3</v>
      </c>
      <c r="K725" t="s">
        <v>26</v>
      </c>
    </row>
    <row r="726" spans="1:11" x14ac:dyDescent="0.3">
      <c r="A726">
        <v>1724</v>
      </c>
      <c r="B726" s="1">
        <v>46099</v>
      </c>
      <c r="C726" s="3">
        <v>0.61805555555555558</v>
      </c>
      <c r="D726" s="2">
        <f>tb_dados[[#This Row],[Data]]+tb_dados[[#This Row],[Hora]]</f>
        <v>46099.618055555555</v>
      </c>
      <c r="E726" t="s">
        <v>11</v>
      </c>
      <c r="F726" t="s">
        <v>13</v>
      </c>
      <c r="G726" t="s">
        <v>24</v>
      </c>
      <c r="H726" s="4">
        <v>280</v>
      </c>
      <c r="I726" s="5">
        <v>3</v>
      </c>
      <c r="K726" t="s">
        <v>25</v>
      </c>
    </row>
    <row r="727" spans="1:11" x14ac:dyDescent="0.3">
      <c r="A727">
        <v>1725</v>
      </c>
      <c r="B727" s="1">
        <v>46080</v>
      </c>
      <c r="C727" s="3">
        <v>0.56805555555555554</v>
      </c>
      <c r="D727" s="2">
        <f>tb_dados[[#This Row],[Data]]+tb_dados[[#This Row],[Hora]]</f>
        <v>46080.568055555559</v>
      </c>
      <c r="E727" t="s">
        <v>10</v>
      </c>
      <c r="F727" t="s">
        <v>16</v>
      </c>
      <c r="G727" t="s">
        <v>23</v>
      </c>
      <c r="H727" s="4">
        <v>4500</v>
      </c>
      <c r="I727" s="5">
        <v>1</v>
      </c>
      <c r="K727" t="s">
        <v>25</v>
      </c>
    </row>
    <row r="728" spans="1:11" x14ac:dyDescent="0.3">
      <c r="A728">
        <v>1726</v>
      </c>
      <c r="B728" s="1">
        <v>46095</v>
      </c>
      <c r="C728" s="3">
        <v>0.78541666666666676</v>
      </c>
      <c r="D728" s="2">
        <f>tb_dados[[#This Row],[Data]]+tb_dados[[#This Row],[Hora]]</f>
        <v>46095.785416666666</v>
      </c>
      <c r="E728" t="s">
        <v>12</v>
      </c>
      <c r="F728" t="s">
        <v>15</v>
      </c>
      <c r="G728" t="s">
        <v>20</v>
      </c>
      <c r="H728" s="4">
        <v>420</v>
      </c>
      <c r="I728" s="5">
        <v>2</v>
      </c>
      <c r="K728" t="s">
        <v>28</v>
      </c>
    </row>
    <row r="729" spans="1:11" x14ac:dyDescent="0.3">
      <c r="A729">
        <v>1727</v>
      </c>
      <c r="B729" s="1">
        <v>46108</v>
      </c>
      <c r="C729" s="3">
        <v>0.89097222222222217</v>
      </c>
      <c r="D729" s="2">
        <f>tb_dados[[#This Row],[Data]]+tb_dados[[#This Row],[Hora]]</f>
        <v>46108.890972222223</v>
      </c>
      <c r="E729" t="s">
        <v>10</v>
      </c>
      <c r="F729" t="s">
        <v>16</v>
      </c>
      <c r="G729" t="s">
        <v>22</v>
      </c>
      <c r="H729" s="4">
        <v>2100</v>
      </c>
      <c r="I729" s="5">
        <v>2</v>
      </c>
      <c r="K729" t="s">
        <v>27</v>
      </c>
    </row>
    <row r="730" spans="1:11" x14ac:dyDescent="0.3">
      <c r="A730">
        <v>1728</v>
      </c>
      <c r="B730" s="1">
        <v>46090</v>
      </c>
      <c r="C730" s="3">
        <v>0.44375000000000003</v>
      </c>
      <c r="D730" s="2">
        <f>tb_dados[[#This Row],[Data]]+tb_dados[[#This Row],[Hora]]</f>
        <v>46090.443749999999</v>
      </c>
      <c r="E730" t="s">
        <v>10</v>
      </c>
      <c r="F730" t="s">
        <v>13</v>
      </c>
      <c r="G730" t="s">
        <v>17</v>
      </c>
      <c r="H730" s="4">
        <v>900</v>
      </c>
      <c r="I730" s="5">
        <v>1</v>
      </c>
      <c r="K730" t="s">
        <v>26</v>
      </c>
    </row>
    <row r="731" spans="1:11" x14ac:dyDescent="0.3">
      <c r="A731">
        <v>1729</v>
      </c>
      <c r="B731" s="1">
        <v>46081</v>
      </c>
      <c r="C731" s="3">
        <v>0.83194444444444438</v>
      </c>
      <c r="D731" s="2">
        <f>tb_dados[[#This Row],[Data]]+tb_dados[[#This Row],[Hora]]</f>
        <v>46081.831944444442</v>
      </c>
      <c r="E731" t="s">
        <v>12</v>
      </c>
      <c r="F731" t="s">
        <v>13</v>
      </c>
      <c r="G731" t="s">
        <v>20</v>
      </c>
      <c r="H731" s="4">
        <v>420</v>
      </c>
      <c r="I731" s="5">
        <v>3</v>
      </c>
      <c r="K731" t="s">
        <v>25</v>
      </c>
    </row>
    <row r="732" spans="1:11" x14ac:dyDescent="0.3">
      <c r="A732">
        <v>1730</v>
      </c>
      <c r="B732" s="1">
        <v>46091</v>
      </c>
      <c r="C732" s="3">
        <v>0.67013888888888884</v>
      </c>
      <c r="D732" s="2">
        <f>tb_dados[[#This Row],[Data]]+tb_dados[[#This Row],[Hora]]</f>
        <v>46091.670138888891</v>
      </c>
      <c r="E732" t="s">
        <v>12</v>
      </c>
      <c r="F732" t="s">
        <v>15</v>
      </c>
      <c r="G732" t="s">
        <v>20</v>
      </c>
      <c r="H732" s="4">
        <v>420</v>
      </c>
      <c r="I732" s="5">
        <v>2</v>
      </c>
      <c r="K732" t="s">
        <v>25</v>
      </c>
    </row>
    <row r="733" spans="1:11" x14ac:dyDescent="0.3">
      <c r="A733">
        <v>1731</v>
      </c>
      <c r="B733" s="1">
        <v>46106</v>
      </c>
      <c r="C733" s="3">
        <v>0.35000000000000003</v>
      </c>
      <c r="D733" s="2">
        <f>tb_dados[[#This Row],[Data]]+tb_dados[[#This Row],[Hora]]</f>
        <v>46106.35</v>
      </c>
      <c r="E733" t="s">
        <v>10</v>
      </c>
      <c r="F733" t="s">
        <v>13</v>
      </c>
      <c r="G733" t="s">
        <v>22</v>
      </c>
      <c r="H733" s="4">
        <v>2100</v>
      </c>
      <c r="I733" s="5">
        <v>3</v>
      </c>
      <c r="K733" t="s">
        <v>28</v>
      </c>
    </row>
    <row r="734" spans="1:11" x14ac:dyDescent="0.3">
      <c r="A734">
        <v>1732</v>
      </c>
      <c r="B734" s="1">
        <v>46101</v>
      </c>
      <c r="C734" s="3">
        <v>0.70000000000000007</v>
      </c>
      <c r="D734" s="2">
        <f>tb_dados[[#This Row],[Data]]+tb_dados[[#This Row],[Hora]]</f>
        <v>46101.7</v>
      </c>
      <c r="E734" t="s">
        <v>10</v>
      </c>
      <c r="F734" t="s">
        <v>14</v>
      </c>
      <c r="G734" t="s">
        <v>22</v>
      </c>
      <c r="H734" s="4">
        <v>2100</v>
      </c>
      <c r="I734" s="5">
        <v>3</v>
      </c>
      <c r="K734" t="s">
        <v>27</v>
      </c>
    </row>
    <row r="735" spans="1:11" x14ac:dyDescent="0.3">
      <c r="A735">
        <v>1733</v>
      </c>
      <c r="B735" s="1">
        <v>46095</v>
      </c>
      <c r="C735" s="3">
        <v>0.52083333333333337</v>
      </c>
      <c r="D735" s="2">
        <f>tb_dados[[#This Row],[Data]]+tb_dados[[#This Row],[Hora]]</f>
        <v>46095.520833333336</v>
      </c>
      <c r="E735" t="s">
        <v>12</v>
      </c>
      <c r="F735" t="s">
        <v>16</v>
      </c>
      <c r="G735" t="s">
        <v>20</v>
      </c>
      <c r="H735" s="4">
        <v>420</v>
      </c>
      <c r="I735" s="5">
        <v>3</v>
      </c>
      <c r="K735" t="s">
        <v>26</v>
      </c>
    </row>
    <row r="736" spans="1:11" x14ac:dyDescent="0.3">
      <c r="A736">
        <v>1734</v>
      </c>
      <c r="B736" s="1">
        <v>46108</v>
      </c>
      <c r="C736" s="3">
        <v>0.66666666666666663</v>
      </c>
      <c r="D736" s="2">
        <f>tb_dados[[#This Row],[Data]]+tb_dados[[#This Row],[Hora]]</f>
        <v>46108.666666666664</v>
      </c>
      <c r="E736" t="s">
        <v>12</v>
      </c>
      <c r="F736" t="s">
        <v>14</v>
      </c>
      <c r="G736" t="s">
        <v>20</v>
      </c>
      <c r="H736" s="4">
        <v>420</v>
      </c>
      <c r="I736" s="5">
        <v>2</v>
      </c>
      <c r="K736" t="s">
        <v>28</v>
      </c>
    </row>
    <row r="737" spans="1:11" x14ac:dyDescent="0.3">
      <c r="A737">
        <v>1735</v>
      </c>
      <c r="B737" s="1">
        <v>46085</v>
      </c>
      <c r="C737" s="3">
        <v>0.72083333333333333</v>
      </c>
      <c r="D737" s="2">
        <f>tb_dados[[#This Row],[Data]]+tb_dados[[#This Row],[Hora]]</f>
        <v>46085.720833333333</v>
      </c>
      <c r="E737" t="s">
        <v>11</v>
      </c>
      <c r="F737" t="s">
        <v>16</v>
      </c>
      <c r="G737" t="s">
        <v>18</v>
      </c>
      <c r="H737" s="4">
        <v>120</v>
      </c>
      <c r="I737" s="5">
        <v>3</v>
      </c>
      <c r="K737" t="s">
        <v>28</v>
      </c>
    </row>
    <row r="738" spans="1:11" x14ac:dyDescent="0.3">
      <c r="A738">
        <v>1736</v>
      </c>
      <c r="B738" s="1">
        <v>46090</v>
      </c>
      <c r="C738" s="3">
        <v>0.51458333333333328</v>
      </c>
      <c r="D738" s="2">
        <f>tb_dados[[#This Row],[Data]]+tb_dados[[#This Row],[Hora]]</f>
        <v>46090.51458333333</v>
      </c>
      <c r="E738" t="s">
        <v>12</v>
      </c>
      <c r="F738" t="s">
        <v>15</v>
      </c>
      <c r="G738" t="s">
        <v>19</v>
      </c>
      <c r="H738" s="4">
        <v>850</v>
      </c>
      <c r="I738" s="5">
        <v>3</v>
      </c>
      <c r="K738" t="s">
        <v>28</v>
      </c>
    </row>
    <row r="739" spans="1:11" x14ac:dyDescent="0.3">
      <c r="A739">
        <v>1737</v>
      </c>
      <c r="B739" s="1">
        <v>46078</v>
      </c>
      <c r="C739" s="3">
        <v>0.94930555555555562</v>
      </c>
      <c r="D739" s="2">
        <f>tb_dados[[#This Row],[Data]]+tb_dados[[#This Row],[Hora]]</f>
        <v>46078.949305555558</v>
      </c>
      <c r="E739" t="s">
        <v>10</v>
      </c>
      <c r="F739" t="s">
        <v>13</v>
      </c>
      <c r="G739" t="s">
        <v>17</v>
      </c>
      <c r="H739" s="4">
        <v>900</v>
      </c>
      <c r="I739" s="5">
        <v>1</v>
      </c>
      <c r="K739" t="s">
        <v>27</v>
      </c>
    </row>
    <row r="740" spans="1:11" x14ac:dyDescent="0.3">
      <c r="A740">
        <v>1738</v>
      </c>
      <c r="B740" s="1">
        <v>46095</v>
      </c>
      <c r="C740" s="3">
        <v>0.35555555555555557</v>
      </c>
      <c r="D740" s="2">
        <f>tb_dados[[#This Row],[Data]]+tb_dados[[#This Row],[Hora]]</f>
        <v>46095.355555555558</v>
      </c>
      <c r="E740" t="s">
        <v>10</v>
      </c>
      <c r="F740" t="s">
        <v>13</v>
      </c>
      <c r="G740" t="s">
        <v>17</v>
      </c>
      <c r="H740" s="4">
        <v>900</v>
      </c>
      <c r="I740" s="5">
        <v>2</v>
      </c>
      <c r="K740" t="s">
        <v>26</v>
      </c>
    </row>
    <row r="741" spans="1:11" x14ac:dyDescent="0.3">
      <c r="A741">
        <v>1739</v>
      </c>
      <c r="B741" s="1">
        <v>46088</v>
      </c>
      <c r="C741" s="3">
        <v>0.71875</v>
      </c>
      <c r="D741" s="2">
        <f>tb_dados[[#This Row],[Data]]+tb_dados[[#This Row],[Hora]]</f>
        <v>46088.71875</v>
      </c>
      <c r="E741" t="s">
        <v>12</v>
      </c>
      <c r="F741" t="s">
        <v>13</v>
      </c>
      <c r="G741" t="s">
        <v>20</v>
      </c>
      <c r="H741" s="4">
        <v>420</v>
      </c>
      <c r="I741" s="5">
        <v>3</v>
      </c>
      <c r="K741" t="s">
        <v>25</v>
      </c>
    </row>
    <row r="742" spans="1:11" x14ac:dyDescent="0.3">
      <c r="A742">
        <v>1740</v>
      </c>
      <c r="B742" s="1">
        <v>46098</v>
      </c>
      <c r="C742" s="3">
        <v>0.60972222222222217</v>
      </c>
      <c r="D742" s="2">
        <f>tb_dados[[#This Row],[Data]]+tb_dados[[#This Row],[Hora]]</f>
        <v>46098.609722222223</v>
      </c>
      <c r="E742" t="s">
        <v>11</v>
      </c>
      <c r="F742" t="s">
        <v>16</v>
      </c>
      <c r="G742" t="s">
        <v>24</v>
      </c>
      <c r="H742" s="4">
        <v>280</v>
      </c>
      <c r="I742" s="5">
        <v>1</v>
      </c>
      <c r="K742" t="s">
        <v>25</v>
      </c>
    </row>
    <row r="743" spans="1:11" x14ac:dyDescent="0.3">
      <c r="A743">
        <v>1741</v>
      </c>
      <c r="B743" s="1">
        <v>46092</v>
      </c>
      <c r="C743" s="3">
        <v>0.50555555555555554</v>
      </c>
      <c r="D743" s="2">
        <f>tb_dados[[#This Row],[Data]]+tb_dados[[#This Row],[Hora]]</f>
        <v>46092.505555555559</v>
      </c>
      <c r="E743" t="s">
        <v>12</v>
      </c>
      <c r="F743" t="s">
        <v>15</v>
      </c>
      <c r="G743" t="s">
        <v>20</v>
      </c>
      <c r="H743" s="4">
        <v>420</v>
      </c>
      <c r="I743" s="5">
        <v>1</v>
      </c>
      <c r="K743" t="s">
        <v>28</v>
      </c>
    </row>
    <row r="744" spans="1:11" x14ac:dyDescent="0.3">
      <c r="A744">
        <v>1742</v>
      </c>
      <c r="B744" s="1">
        <v>46083</v>
      </c>
      <c r="C744" s="3">
        <v>0.66388888888888886</v>
      </c>
      <c r="D744" s="2">
        <f>tb_dados[[#This Row],[Data]]+tb_dados[[#This Row],[Hora]]</f>
        <v>46083.663888888892</v>
      </c>
      <c r="E744" t="s">
        <v>11</v>
      </c>
      <c r="F744" t="s">
        <v>14</v>
      </c>
      <c r="G744" t="s">
        <v>18</v>
      </c>
      <c r="H744" s="4">
        <v>120</v>
      </c>
      <c r="I744" s="5">
        <v>3</v>
      </c>
      <c r="K744" t="s">
        <v>27</v>
      </c>
    </row>
    <row r="745" spans="1:11" x14ac:dyDescent="0.3">
      <c r="A745">
        <v>1743</v>
      </c>
      <c r="B745" s="1">
        <v>46088</v>
      </c>
      <c r="C745" s="3">
        <v>0.4770833333333333</v>
      </c>
      <c r="D745" s="2">
        <f>tb_dados[[#This Row],[Data]]+tb_dados[[#This Row],[Hora]]</f>
        <v>46088.477083333331</v>
      </c>
      <c r="E745" t="s">
        <v>10</v>
      </c>
      <c r="F745" t="s">
        <v>13</v>
      </c>
      <c r="G745" t="s">
        <v>23</v>
      </c>
      <c r="H745" s="4">
        <v>4500</v>
      </c>
      <c r="I745" s="5">
        <v>2</v>
      </c>
      <c r="K745" t="s">
        <v>27</v>
      </c>
    </row>
    <row r="746" spans="1:11" x14ac:dyDescent="0.3">
      <c r="A746">
        <v>1744</v>
      </c>
      <c r="B746" s="1">
        <v>46086</v>
      </c>
      <c r="C746" s="3">
        <v>0.92708333333333337</v>
      </c>
      <c r="D746" s="2">
        <f>tb_dados[[#This Row],[Data]]+tb_dados[[#This Row],[Hora]]</f>
        <v>46086.927083333336</v>
      </c>
      <c r="E746" t="s">
        <v>10</v>
      </c>
      <c r="F746" t="s">
        <v>16</v>
      </c>
      <c r="G746" t="s">
        <v>22</v>
      </c>
      <c r="H746" s="4">
        <v>2100</v>
      </c>
      <c r="I746" s="5">
        <v>3</v>
      </c>
      <c r="K746" t="s">
        <v>26</v>
      </c>
    </row>
    <row r="747" spans="1:11" x14ac:dyDescent="0.3">
      <c r="A747">
        <v>1745</v>
      </c>
      <c r="B747" s="1">
        <v>46103</v>
      </c>
      <c r="C747" s="3">
        <v>0.55694444444444446</v>
      </c>
      <c r="D747" s="2">
        <f>tb_dados[[#This Row],[Data]]+tb_dados[[#This Row],[Hora]]</f>
        <v>46103.556944444441</v>
      </c>
      <c r="E747" t="s">
        <v>11</v>
      </c>
      <c r="F747" t="s">
        <v>15</v>
      </c>
      <c r="G747" t="s">
        <v>24</v>
      </c>
      <c r="H747" s="4">
        <v>280</v>
      </c>
      <c r="I747" s="5">
        <v>2</v>
      </c>
      <c r="K747" t="s">
        <v>25</v>
      </c>
    </row>
    <row r="748" spans="1:11" x14ac:dyDescent="0.3">
      <c r="A748">
        <v>1746</v>
      </c>
      <c r="B748" s="1">
        <v>46101</v>
      </c>
      <c r="C748" s="3">
        <v>0.63541666666666663</v>
      </c>
      <c r="D748" s="2">
        <f>tb_dados[[#This Row],[Data]]+tb_dados[[#This Row],[Hora]]</f>
        <v>46101.635416666664</v>
      </c>
      <c r="E748" t="s">
        <v>10</v>
      </c>
      <c r="F748" t="s">
        <v>13</v>
      </c>
      <c r="G748" t="s">
        <v>17</v>
      </c>
      <c r="H748" s="4">
        <v>900</v>
      </c>
      <c r="I748" s="5">
        <v>2</v>
      </c>
      <c r="K748" t="s">
        <v>28</v>
      </c>
    </row>
    <row r="749" spans="1:11" x14ac:dyDescent="0.3">
      <c r="A749">
        <v>1747</v>
      </c>
      <c r="B749" s="1">
        <v>46080</v>
      </c>
      <c r="C749" s="3">
        <v>0.83611111111111114</v>
      </c>
      <c r="D749" s="2">
        <f>tb_dados[[#This Row],[Data]]+tb_dados[[#This Row],[Hora]]</f>
        <v>46080.836111111108</v>
      </c>
      <c r="E749" t="s">
        <v>10</v>
      </c>
      <c r="F749" t="s">
        <v>14</v>
      </c>
      <c r="G749" t="s">
        <v>17</v>
      </c>
      <c r="H749" s="4">
        <v>900</v>
      </c>
      <c r="I749" s="5">
        <v>1</v>
      </c>
      <c r="K749" t="s">
        <v>28</v>
      </c>
    </row>
    <row r="750" spans="1:11" x14ac:dyDescent="0.3">
      <c r="A750">
        <v>1748</v>
      </c>
      <c r="B750" s="1">
        <v>46091</v>
      </c>
      <c r="C750" s="3">
        <v>0.48055555555555557</v>
      </c>
      <c r="D750" s="2">
        <f>tb_dados[[#This Row],[Data]]+tb_dados[[#This Row],[Hora]]</f>
        <v>46091.480555555558</v>
      </c>
      <c r="E750" t="s">
        <v>10</v>
      </c>
      <c r="F750" t="s">
        <v>13</v>
      </c>
      <c r="G750" t="s">
        <v>22</v>
      </c>
      <c r="H750" s="4">
        <v>2100</v>
      </c>
      <c r="I750" s="5">
        <v>2</v>
      </c>
      <c r="K750" t="s">
        <v>27</v>
      </c>
    </row>
    <row r="751" spans="1:11" x14ac:dyDescent="0.3">
      <c r="A751">
        <v>1749</v>
      </c>
      <c r="B751" s="1">
        <v>46091</v>
      </c>
      <c r="C751" s="3">
        <v>0.68611111111111101</v>
      </c>
      <c r="D751" s="2">
        <f>tb_dados[[#This Row],[Data]]+tb_dados[[#This Row],[Hora]]</f>
        <v>46091.686111111114</v>
      </c>
      <c r="E751" t="s">
        <v>11</v>
      </c>
      <c r="F751" t="s">
        <v>16</v>
      </c>
      <c r="G751" t="s">
        <v>18</v>
      </c>
      <c r="H751" s="4">
        <v>120</v>
      </c>
      <c r="I751" s="5">
        <v>2</v>
      </c>
      <c r="K751" t="s">
        <v>28</v>
      </c>
    </row>
    <row r="752" spans="1:11" x14ac:dyDescent="0.3">
      <c r="A752">
        <v>1750</v>
      </c>
      <c r="B752" s="1">
        <v>46080</v>
      </c>
      <c r="C752" s="3">
        <v>0.45555555555555555</v>
      </c>
      <c r="D752" s="2">
        <f>tb_dados[[#This Row],[Data]]+tb_dados[[#This Row],[Hora]]</f>
        <v>46080.455555555556</v>
      </c>
      <c r="E752" t="s">
        <v>11</v>
      </c>
      <c r="F752" t="s">
        <v>15</v>
      </c>
      <c r="G752" t="s">
        <v>18</v>
      </c>
      <c r="H752" s="4">
        <v>120</v>
      </c>
      <c r="I752" s="5">
        <v>3</v>
      </c>
      <c r="K752" t="s">
        <v>26</v>
      </c>
    </row>
    <row r="753" spans="1:11" x14ac:dyDescent="0.3">
      <c r="A753">
        <v>1751</v>
      </c>
      <c r="B753" s="1">
        <v>46092</v>
      </c>
      <c r="C753" s="3">
        <v>0.93194444444444446</v>
      </c>
      <c r="D753" s="2">
        <f>tb_dados[[#This Row],[Data]]+tb_dados[[#This Row],[Hora]]</f>
        <v>46092.931944444441</v>
      </c>
      <c r="E753" t="s">
        <v>12</v>
      </c>
      <c r="F753" t="s">
        <v>15</v>
      </c>
      <c r="G753" t="s">
        <v>19</v>
      </c>
      <c r="H753" s="4">
        <v>850</v>
      </c>
      <c r="I753" s="5">
        <v>3</v>
      </c>
      <c r="K753" t="s">
        <v>28</v>
      </c>
    </row>
    <row r="754" spans="1:11" x14ac:dyDescent="0.3">
      <c r="A754">
        <v>1752</v>
      </c>
      <c r="B754" s="1">
        <v>46091</v>
      </c>
      <c r="C754" s="3">
        <v>0.92152777777777783</v>
      </c>
      <c r="D754" s="2">
        <f>tb_dados[[#This Row],[Data]]+tb_dados[[#This Row],[Hora]]</f>
        <v>46091.921527777777</v>
      </c>
      <c r="E754" t="s">
        <v>10</v>
      </c>
      <c r="F754" t="s">
        <v>14</v>
      </c>
      <c r="G754" t="s">
        <v>17</v>
      </c>
      <c r="H754" s="4">
        <v>900</v>
      </c>
      <c r="I754" s="5">
        <v>1</v>
      </c>
      <c r="K754" t="s">
        <v>25</v>
      </c>
    </row>
    <row r="755" spans="1:11" x14ac:dyDescent="0.3">
      <c r="A755">
        <v>1753</v>
      </c>
      <c r="B755" s="1">
        <v>46078</v>
      </c>
      <c r="C755" s="3">
        <v>0.86944444444444446</v>
      </c>
      <c r="D755" s="2">
        <f>tb_dados[[#This Row],[Data]]+tb_dados[[#This Row],[Hora]]</f>
        <v>46078.869444444441</v>
      </c>
      <c r="E755" t="s">
        <v>12</v>
      </c>
      <c r="F755" t="s">
        <v>15</v>
      </c>
      <c r="G755" t="s">
        <v>19</v>
      </c>
      <c r="H755" s="4">
        <v>850</v>
      </c>
      <c r="I755" s="5">
        <v>1</v>
      </c>
      <c r="K755" t="s">
        <v>26</v>
      </c>
    </row>
    <row r="756" spans="1:11" x14ac:dyDescent="0.3">
      <c r="A756">
        <v>1754</v>
      </c>
      <c r="B756" s="1">
        <v>46078</v>
      </c>
      <c r="C756" s="3">
        <v>0.63958333333333328</v>
      </c>
      <c r="D756" s="2">
        <f>tb_dados[[#This Row],[Data]]+tb_dados[[#This Row],[Hora]]</f>
        <v>46078.63958333333</v>
      </c>
      <c r="E756" t="s">
        <v>11</v>
      </c>
      <c r="F756" t="s">
        <v>15</v>
      </c>
      <c r="G756" t="s">
        <v>24</v>
      </c>
      <c r="H756" s="4">
        <v>280</v>
      </c>
      <c r="I756" s="5">
        <v>3</v>
      </c>
      <c r="K756" t="s">
        <v>27</v>
      </c>
    </row>
    <row r="757" spans="1:11" x14ac:dyDescent="0.3">
      <c r="A757">
        <v>1755</v>
      </c>
      <c r="B757" s="1">
        <v>46091</v>
      </c>
      <c r="C757" s="3">
        <v>0.44027777777777777</v>
      </c>
      <c r="D757" s="2">
        <f>tb_dados[[#This Row],[Data]]+tb_dados[[#This Row],[Hora]]</f>
        <v>46091.44027777778</v>
      </c>
      <c r="E757" t="s">
        <v>12</v>
      </c>
      <c r="F757" t="s">
        <v>16</v>
      </c>
      <c r="G757" t="s">
        <v>19</v>
      </c>
      <c r="H757" s="4">
        <v>850</v>
      </c>
      <c r="I757" s="5">
        <v>3</v>
      </c>
      <c r="K757" t="s">
        <v>25</v>
      </c>
    </row>
    <row r="758" spans="1:11" x14ac:dyDescent="0.3">
      <c r="A758">
        <v>1756</v>
      </c>
      <c r="B758" s="1">
        <v>46096</v>
      </c>
      <c r="C758" s="3">
        <v>0.66180555555555554</v>
      </c>
      <c r="D758" s="2">
        <f>tb_dados[[#This Row],[Data]]+tb_dados[[#This Row],[Hora]]</f>
        <v>46096.661805555559</v>
      </c>
      <c r="E758" t="s">
        <v>12</v>
      </c>
      <c r="F758" t="s">
        <v>16</v>
      </c>
      <c r="G758" t="s">
        <v>20</v>
      </c>
      <c r="H758" s="4">
        <v>420</v>
      </c>
      <c r="I758" s="5">
        <v>1</v>
      </c>
      <c r="K758" t="s">
        <v>25</v>
      </c>
    </row>
    <row r="759" spans="1:11" x14ac:dyDescent="0.3">
      <c r="A759">
        <v>1757</v>
      </c>
      <c r="B759" s="1">
        <v>46098</v>
      </c>
      <c r="C759" s="3">
        <v>0.66597222222222219</v>
      </c>
      <c r="D759" s="2">
        <f>tb_dados[[#This Row],[Data]]+tb_dados[[#This Row],[Hora]]</f>
        <v>46098.665972222225</v>
      </c>
      <c r="E759" t="s">
        <v>10</v>
      </c>
      <c r="F759" t="s">
        <v>13</v>
      </c>
      <c r="G759" t="s">
        <v>17</v>
      </c>
      <c r="H759" s="4">
        <v>900</v>
      </c>
      <c r="I759" s="5">
        <v>1</v>
      </c>
      <c r="K759" t="s">
        <v>28</v>
      </c>
    </row>
    <row r="760" spans="1:11" x14ac:dyDescent="0.3">
      <c r="A760">
        <v>1758</v>
      </c>
      <c r="B760" s="1">
        <v>46105</v>
      </c>
      <c r="C760" s="3">
        <v>0.50277777777777777</v>
      </c>
      <c r="D760" s="2">
        <f>tb_dados[[#This Row],[Data]]+tb_dados[[#This Row],[Hora]]</f>
        <v>46105.50277777778</v>
      </c>
      <c r="E760" t="s">
        <v>12</v>
      </c>
      <c r="F760" t="s">
        <v>16</v>
      </c>
      <c r="G760" t="s">
        <v>19</v>
      </c>
      <c r="H760" s="4">
        <v>850</v>
      </c>
      <c r="I760" s="5">
        <v>3</v>
      </c>
      <c r="K760" t="s">
        <v>28</v>
      </c>
    </row>
    <row r="761" spans="1:11" x14ac:dyDescent="0.3">
      <c r="A761">
        <v>1759</v>
      </c>
      <c r="B761" s="1">
        <v>46107</v>
      </c>
      <c r="C761" s="3">
        <v>0.58611111111111114</v>
      </c>
      <c r="D761" s="2">
        <f>tb_dados[[#This Row],[Data]]+tb_dados[[#This Row],[Hora]]</f>
        <v>46107.586111111108</v>
      </c>
      <c r="E761" t="s">
        <v>11</v>
      </c>
      <c r="F761" t="s">
        <v>15</v>
      </c>
      <c r="G761" t="s">
        <v>18</v>
      </c>
      <c r="H761" s="4">
        <v>120</v>
      </c>
      <c r="I761" s="5">
        <v>2</v>
      </c>
      <c r="K761" t="s">
        <v>25</v>
      </c>
    </row>
    <row r="762" spans="1:11" x14ac:dyDescent="0.3">
      <c r="A762">
        <v>1760</v>
      </c>
      <c r="B762" s="1">
        <v>46084</v>
      </c>
      <c r="C762" s="3">
        <v>0.84027777777777779</v>
      </c>
      <c r="D762" s="2">
        <f>tb_dados[[#This Row],[Data]]+tb_dados[[#This Row],[Hora]]</f>
        <v>46084.840277777781</v>
      </c>
      <c r="E762" t="s">
        <v>11</v>
      </c>
      <c r="F762" t="s">
        <v>16</v>
      </c>
      <c r="G762" t="s">
        <v>21</v>
      </c>
      <c r="H762" s="4">
        <v>350</v>
      </c>
      <c r="I762" s="5">
        <v>1</v>
      </c>
      <c r="K762" t="s">
        <v>26</v>
      </c>
    </row>
    <row r="763" spans="1:11" x14ac:dyDescent="0.3">
      <c r="A763">
        <v>1761</v>
      </c>
      <c r="B763" s="1">
        <v>46100</v>
      </c>
      <c r="C763" s="3">
        <v>0.8125</v>
      </c>
      <c r="D763" s="2">
        <f>tb_dados[[#This Row],[Data]]+tb_dados[[#This Row],[Hora]]</f>
        <v>46100.8125</v>
      </c>
      <c r="E763" t="s">
        <v>12</v>
      </c>
      <c r="F763" t="s">
        <v>14</v>
      </c>
      <c r="G763" t="s">
        <v>20</v>
      </c>
      <c r="H763" s="4">
        <v>420</v>
      </c>
      <c r="I763" s="5">
        <v>1</v>
      </c>
      <c r="K763" t="s">
        <v>25</v>
      </c>
    </row>
    <row r="764" spans="1:11" x14ac:dyDescent="0.3">
      <c r="A764">
        <v>1762</v>
      </c>
      <c r="B764" s="1">
        <v>46101</v>
      </c>
      <c r="C764" s="3">
        <v>0.69652777777777775</v>
      </c>
      <c r="D764" s="2">
        <f>tb_dados[[#This Row],[Data]]+tb_dados[[#This Row],[Hora]]</f>
        <v>46101.696527777778</v>
      </c>
      <c r="E764" t="s">
        <v>10</v>
      </c>
      <c r="F764" t="s">
        <v>15</v>
      </c>
      <c r="G764" t="s">
        <v>22</v>
      </c>
      <c r="H764" s="4">
        <v>2100</v>
      </c>
      <c r="I764" s="5">
        <v>1</v>
      </c>
      <c r="K764" t="s">
        <v>27</v>
      </c>
    </row>
    <row r="765" spans="1:11" x14ac:dyDescent="0.3">
      <c r="A765">
        <v>1763</v>
      </c>
      <c r="B765" s="1">
        <v>46089</v>
      </c>
      <c r="C765" s="3">
        <v>0.90347222222222223</v>
      </c>
      <c r="D765" s="2">
        <f>tb_dados[[#This Row],[Data]]+tb_dados[[#This Row],[Hora]]</f>
        <v>46089.90347222222</v>
      </c>
      <c r="E765" t="s">
        <v>11</v>
      </c>
      <c r="F765" t="s">
        <v>16</v>
      </c>
      <c r="G765" t="s">
        <v>18</v>
      </c>
      <c r="H765" s="4">
        <v>120</v>
      </c>
      <c r="I765" s="5">
        <v>1</v>
      </c>
      <c r="K765" t="s">
        <v>25</v>
      </c>
    </row>
    <row r="766" spans="1:11" x14ac:dyDescent="0.3">
      <c r="A766">
        <v>1764</v>
      </c>
      <c r="B766" s="1">
        <v>46106</v>
      </c>
      <c r="C766" s="3">
        <v>0.89513888888888893</v>
      </c>
      <c r="D766" s="2">
        <f>tb_dados[[#This Row],[Data]]+tb_dados[[#This Row],[Hora]]</f>
        <v>46106.895138888889</v>
      </c>
      <c r="E766" t="s">
        <v>12</v>
      </c>
      <c r="F766" t="s">
        <v>15</v>
      </c>
      <c r="G766" t="s">
        <v>19</v>
      </c>
      <c r="H766" s="4">
        <v>850</v>
      </c>
      <c r="I766" s="5">
        <v>1</v>
      </c>
      <c r="K766" t="s">
        <v>26</v>
      </c>
    </row>
    <row r="767" spans="1:11" x14ac:dyDescent="0.3">
      <c r="A767">
        <v>1765</v>
      </c>
      <c r="B767" s="1">
        <v>46084</v>
      </c>
      <c r="C767" s="3">
        <v>0.72777777777777775</v>
      </c>
      <c r="D767" s="2">
        <f>tb_dados[[#This Row],[Data]]+tb_dados[[#This Row],[Hora]]</f>
        <v>46084.727777777778</v>
      </c>
      <c r="E767" t="s">
        <v>12</v>
      </c>
      <c r="F767" t="s">
        <v>14</v>
      </c>
      <c r="G767" t="s">
        <v>20</v>
      </c>
      <c r="H767" s="4">
        <v>420</v>
      </c>
      <c r="I767" s="5">
        <v>2</v>
      </c>
      <c r="K767" t="s">
        <v>28</v>
      </c>
    </row>
    <row r="768" spans="1:11" x14ac:dyDescent="0.3">
      <c r="A768">
        <v>1766</v>
      </c>
      <c r="B768" s="1">
        <v>46092</v>
      </c>
      <c r="C768" s="3">
        <v>0.85</v>
      </c>
      <c r="D768" s="2">
        <f>tb_dados[[#This Row],[Data]]+tb_dados[[#This Row],[Hora]]</f>
        <v>46092.85</v>
      </c>
      <c r="E768" t="s">
        <v>11</v>
      </c>
      <c r="F768" t="s">
        <v>14</v>
      </c>
      <c r="G768" t="s">
        <v>18</v>
      </c>
      <c r="H768" s="4">
        <v>120</v>
      </c>
      <c r="I768" s="5">
        <v>3</v>
      </c>
      <c r="K768" t="s">
        <v>28</v>
      </c>
    </row>
    <row r="769" spans="1:11" x14ac:dyDescent="0.3">
      <c r="A769">
        <v>1767</v>
      </c>
      <c r="B769" s="1">
        <v>46099</v>
      </c>
      <c r="C769" s="3">
        <v>0.53055555555555556</v>
      </c>
      <c r="D769" s="2">
        <f>tb_dados[[#This Row],[Data]]+tb_dados[[#This Row],[Hora]]</f>
        <v>46099.530555555553</v>
      </c>
      <c r="E769" t="s">
        <v>12</v>
      </c>
      <c r="F769" t="s">
        <v>16</v>
      </c>
      <c r="G769" t="s">
        <v>20</v>
      </c>
      <c r="H769" s="4">
        <v>420</v>
      </c>
      <c r="I769" s="5">
        <v>3</v>
      </c>
      <c r="K769" t="s">
        <v>26</v>
      </c>
    </row>
    <row r="770" spans="1:11" x14ac:dyDescent="0.3">
      <c r="A770">
        <v>1768</v>
      </c>
      <c r="B770" s="1">
        <v>46081</v>
      </c>
      <c r="C770" s="3">
        <v>0.41250000000000003</v>
      </c>
      <c r="D770" s="2">
        <f>tb_dados[[#This Row],[Data]]+tb_dados[[#This Row],[Hora]]</f>
        <v>46081.412499999999</v>
      </c>
      <c r="E770" t="s">
        <v>10</v>
      </c>
      <c r="F770" t="s">
        <v>16</v>
      </c>
      <c r="G770" t="s">
        <v>23</v>
      </c>
      <c r="H770" s="4">
        <v>4500</v>
      </c>
      <c r="I770" s="5">
        <v>3</v>
      </c>
      <c r="K770" t="s">
        <v>27</v>
      </c>
    </row>
    <row r="771" spans="1:11" x14ac:dyDescent="0.3">
      <c r="A771">
        <v>1769</v>
      </c>
      <c r="B771" s="1">
        <v>46100</v>
      </c>
      <c r="C771" s="3">
        <v>0.88541666666666663</v>
      </c>
      <c r="D771" s="2">
        <f>tb_dados[[#This Row],[Data]]+tb_dados[[#This Row],[Hora]]</f>
        <v>46100.885416666664</v>
      </c>
      <c r="E771" t="s">
        <v>10</v>
      </c>
      <c r="F771" t="s">
        <v>16</v>
      </c>
      <c r="G771" t="s">
        <v>23</v>
      </c>
      <c r="H771" s="4">
        <v>4500</v>
      </c>
      <c r="I771" s="5">
        <v>3</v>
      </c>
      <c r="K771" t="s">
        <v>26</v>
      </c>
    </row>
    <row r="772" spans="1:11" x14ac:dyDescent="0.3">
      <c r="A772">
        <v>1770</v>
      </c>
      <c r="B772" s="1">
        <v>46080</v>
      </c>
      <c r="C772" s="3">
        <v>0.78680555555555554</v>
      </c>
      <c r="D772" s="2">
        <f>tb_dados[[#This Row],[Data]]+tb_dados[[#This Row],[Hora]]</f>
        <v>46080.786805555559</v>
      </c>
      <c r="E772" t="s">
        <v>10</v>
      </c>
      <c r="F772" t="s">
        <v>15</v>
      </c>
      <c r="G772" t="s">
        <v>17</v>
      </c>
      <c r="H772" s="4">
        <v>900</v>
      </c>
      <c r="I772" s="5">
        <v>2</v>
      </c>
      <c r="K772" t="s">
        <v>27</v>
      </c>
    </row>
    <row r="773" spans="1:11" x14ac:dyDescent="0.3">
      <c r="A773">
        <v>1771</v>
      </c>
      <c r="B773" s="1">
        <v>46081</v>
      </c>
      <c r="C773" s="3">
        <v>0.86736111111111114</v>
      </c>
      <c r="D773" s="2">
        <f>tb_dados[[#This Row],[Data]]+tb_dados[[#This Row],[Hora]]</f>
        <v>46081.867361111108</v>
      </c>
      <c r="E773" t="s">
        <v>11</v>
      </c>
      <c r="F773" t="s">
        <v>16</v>
      </c>
      <c r="G773" t="s">
        <v>24</v>
      </c>
      <c r="H773" s="4">
        <v>280</v>
      </c>
      <c r="I773" s="5">
        <v>2</v>
      </c>
      <c r="K773" t="s">
        <v>28</v>
      </c>
    </row>
    <row r="774" spans="1:11" x14ac:dyDescent="0.3">
      <c r="A774">
        <v>1772</v>
      </c>
      <c r="B774" s="1">
        <v>46106</v>
      </c>
      <c r="C774" s="3">
        <v>0.6118055555555556</v>
      </c>
      <c r="D774" s="2">
        <f>tb_dados[[#This Row],[Data]]+tb_dados[[#This Row],[Hora]]</f>
        <v>46106.611805555556</v>
      </c>
      <c r="E774" t="s">
        <v>10</v>
      </c>
      <c r="F774" t="s">
        <v>15</v>
      </c>
      <c r="G774" t="s">
        <v>23</v>
      </c>
      <c r="H774" s="4">
        <v>4500</v>
      </c>
      <c r="I774" s="5">
        <v>1</v>
      </c>
      <c r="K774" t="s">
        <v>25</v>
      </c>
    </row>
    <row r="775" spans="1:11" x14ac:dyDescent="0.3">
      <c r="A775">
        <v>1773</v>
      </c>
      <c r="B775" s="1">
        <v>46080</v>
      </c>
      <c r="C775" s="3">
        <v>0.82500000000000007</v>
      </c>
      <c r="D775" s="2">
        <f>tb_dados[[#This Row],[Data]]+tb_dados[[#This Row],[Hora]]</f>
        <v>46080.824999999997</v>
      </c>
      <c r="E775" t="s">
        <v>11</v>
      </c>
      <c r="F775" t="s">
        <v>16</v>
      </c>
      <c r="G775" t="s">
        <v>24</v>
      </c>
      <c r="H775" s="4">
        <v>280</v>
      </c>
      <c r="I775" s="5">
        <v>1</v>
      </c>
      <c r="K775" t="s">
        <v>27</v>
      </c>
    </row>
    <row r="776" spans="1:11" x14ac:dyDescent="0.3">
      <c r="A776">
        <v>1774</v>
      </c>
      <c r="B776" s="1">
        <v>46086</v>
      </c>
      <c r="C776" s="3">
        <v>0.69652777777777775</v>
      </c>
      <c r="D776" s="2">
        <f>tb_dados[[#This Row],[Data]]+tb_dados[[#This Row],[Hora]]</f>
        <v>46086.696527777778</v>
      </c>
      <c r="E776" t="s">
        <v>12</v>
      </c>
      <c r="F776" t="s">
        <v>16</v>
      </c>
      <c r="G776" t="s">
        <v>20</v>
      </c>
      <c r="H776" s="4">
        <v>420</v>
      </c>
      <c r="I776" s="5">
        <v>3</v>
      </c>
      <c r="K776" t="s">
        <v>28</v>
      </c>
    </row>
    <row r="777" spans="1:11" x14ac:dyDescent="0.3">
      <c r="A777">
        <v>1775</v>
      </c>
      <c r="B777" s="1">
        <v>46108</v>
      </c>
      <c r="C777" s="3">
        <v>0.43472222222222223</v>
      </c>
      <c r="D777" s="2">
        <f>tb_dados[[#This Row],[Data]]+tb_dados[[#This Row],[Hora]]</f>
        <v>46108.43472222222</v>
      </c>
      <c r="E777" t="s">
        <v>10</v>
      </c>
      <c r="F777" t="s">
        <v>16</v>
      </c>
      <c r="G777" t="s">
        <v>17</v>
      </c>
      <c r="H777" s="4">
        <v>900</v>
      </c>
      <c r="I777" s="5">
        <v>3</v>
      </c>
      <c r="K777" t="s">
        <v>26</v>
      </c>
    </row>
    <row r="778" spans="1:11" x14ac:dyDescent="0.3">
      <c r="A778">
        <v>1776</v>
      </c>
      <c r="B778" s="1">
        <v>46083</v>
      </c>
      <c r="C778" s="3">
        <v>0.79583333333333339</v>
      </c>
      <c r="D778" s="2">
        <f>tb_dados[[#This Row],[Data]]+tb_dados[[#This Row],[Hora]]</f>
        <v>46083.79583333333</v>
      </c>
      <c r="E778" t="s">
        <v>12</v>
      </c>
      <c r="F778" t="s">
        <v>16</v>
      </c>
      <c r="G778" t="s">
        <v>19</v>
      </c>
      <c r="H778" s="4">
        <v>850</v>
      </c>
      <c r="I778" s="5">
        <v>2</v>
      </c>
      <c r="K778" t="s">
        <v>26</v>
      </c>
    </row>
    <row r="779" spans="1:11" x14ac:dyDescent="0.3">
      <c r="A779">
        <v>1777</v>
      </c>
      <c r="B779" s="1">
        <v>46079</v>
      </c>
      <c r="C779" s="3">
        <v>0.58958333333333335</v>
      </c>
      <c r="D779" s="2">
        <f>tb_dados[[#This Row],[Data]]+tb_dados[[#This Row],[Hora]]</f>
        <v>46079.589583333334</v>
      </c>
      <c r="E779" t="s">
        <v>12</v>
      </c>
      <c r="F779" t="s">
        <v>15</v>
      </c>
      <c r="G779" t="s">
        <v>20</v>
      </c>
      <c r="H779" s="4">
        <v>420</v>
      </c>
      <c r="I779" s="5">
        <v>1</v>
      </c>
      <c r="K779" t="s">
        <v>28</v>
      </c>
    </row>
    <row r="780" spans="1:11" x14ac:dyDescent="0.3">
      <c r="A780">
        <v>1778</v>
      </c>
      <c r="B780" s="1">
        <v>46083</v>
      </c>
      <c r="C780" s="3">
        <v>0.74861111111111101</v>
      </c>
      <c r="D780" s="2">
        <f>tb_dados[[#This Row],[Data]]+tb_dados[[#This Row],[Hora]]</f>
        <v>46083.748611111114</v>
      </c>
      <c r="E780" t="s">
        <v>10</v>
      </c>
      <c r="F780" t="s">
        <v>13</v>
      </c>
      <c r="G780" t="s">
        <v>22</v>
      </c>
      <c r="H780" s="4">
        <v>2100</v>
      </c>
      <c r="I780" s="5">
        <v>2</v>
      </c>
      <c r="K780" t="s">
        <v>28</v>
      </c>
    </row>
    <row r="781" spans="1:11" x14ac:dyDescent="0.3">
      <c r="A781">
        <v>1779</v>
      </c>
      <c r="B781" s="1">
        <v>46098</v>
      </c>
      <c r="C781" s="3">
        <v>0.89722222222222225</v>
      </c>
      <c r="D781" s="2">
        <f>tb_dados[[#This Row],[Data]]+tb_dados[[#This Row],[Hora]]</f>
        <v>46098.897222222222</v>
      </c>
      <c r="E781" t="s">
        <v>11</v>
      </c>
      <c r="F781" t="s">
        <v>16</v>
      </c>
      <c r="G781" t="s">
        <v>24</v>
      </c>
      <c r="H781" s="4">
        <v>280</v>
      </c>
      <c r="I781" s="5">
        <v>1</v>
      </c>
      <c r="K781" t="s">
        <v>26</v>
      </c>
    </row>
    <row r="782" spans="1:11" x14ac:dyDescent="0.3">
      <c r="A782">
        <v>1780</v>
      </c>
      <c r="B782" s="1">
        <v>46091</v>
      </c>
      <c r="C782" s="3">
        <v>0.48333333333333334</v>
      </c>
      <c r="D782" s="2">
        <f>tb_dados[[#This Row],[Data]]+tb_dados[[#This Row],[Hora]]</f>
        <v>46091.48333333333</v>
      </c>
      <c r="E782" t="s">
        <v>12</v>
      </c>
      <c r="F782" t="s">
        <v>13</v>
      </c>
      <c r="G782" t="s">
        <v>19</v>
      </c>
      <c r="H782" s="4">
        <v>850</v>
      </c>
      <c r="I782" s="5">
        <v>1</v>
      </c>
      <c r="K782" t="s">
        <v>25</v>
      </c>
    </row>
    <row r="783" spans="1:11" x14ac:dyDescent="0.3">
      <c r="A783">
        <v>1781</v>
      </c>
      <c r="B783" s="1">
        <v>46097</v>
      </c>
      <c r="C783" s="3">
        <v>0.76874999999999993</v>
      </c>
      <c r="D783" s="2">
        <f>tb_dados[[#This Row],[Data]]+tb_dados[[#This Row],[Hora]]</f>
        <v>46097.768750000003</v>
      </c>
      <c r="E783" t="s">
        <v>12</v>
      </c>
      <c r="F783" t="s">
        <v>16</v>
      </c>
      <c r="G783" t="s">
        <v>20</v>
      </c>
      <c r="H783" s="4">
        <v>420</v>
      </c>
      <c r="I783" s="5">
        <v>3</v>
      </c>
      <c r="K783" t="s">
        <v>28</v>
      </c>
    </row>
    <row r="784" spans="1:11" x14ac:dyDescent="0.3">
      <c r="A784">
        <v>1782</v>
      </c>
      <c r="B784" s="1">
        <v>46086</v>
      </c>
      <c r="C784" s="3">
        <v>0.40486111111111112</v>
      </c>
      <c r="D784" s="2">
        <f>tb_dados[[#This Row],[Data]]+tb_dados[[#This Row],[Hora]]</f>
        <v>46086.404861111114</v>
      </c>
      <c r="E784" t="s">
        <v>11</v>
      </c>
      <c r="F784" t="s">
        <v>16</v>
      </c>
      <c r="G784" t="s">
        <v>21</v>
      </c>
      <c r="H784" s="4">
        <v>350</v>
      </c>
      <c r="I784" s="5">
        <v>3</v>
      </c>
      <c r="K784" t="s">
        <v>25</v>
      </c>
    </row>
    <row r="785" spans="1:11" x14ac:dyDescent="0.3">
      <c r="A785">
        <v>1783</v>
      </c>
      <c r="B785" s="1">
        <v>46102</v>
      </c>
      <c r="C785" s="3">
        <v>0.38750000000000001</v>
      </c>
      <c r="D785" s="2">
        <f>tb_dados[[#This Row],[Data]]+tb_dados[[#This Row],[Hora]]</f>
        <v>46102.387499999997</v>
      </c>
      <c r="E785" t="s">
        <v>11</v>
      </c>
      <c r="F785" t="s">
        <v>14</v>
      </c>
      <c r="G785" t="s">
        <v>24</v>
      </c>
      <c r="H785" s="4">
        <v>280</v>
      </c>
      <c r="I785" s="5">
        <v>2</v>
      </c>
      <c r="K785" t="s">
        <v>25</v>
      </c>
    </row>
    <row r="786" spans="1:11" x14ac:dyDescent="0.3">
      <c r="A786">
        <v>1784</v>
      </c>
      <c r="B786" s="1">
        <v>46091</v>
      </c>
      <c r="C786" s="3">
        <v>0.55902777777777779</v>
      </c>
      <c r="D786" s="2">
        <f>tb_dados[[#This Row],[Data]]+tb_dados[[#This Row],[Hora]]</f>
        <v>46091.559027777781</v>
      </c>
      <c r="E786" t="s">
        <v>11</v>
      </c>
      <c r="F786" t="s">
        <v>13</v>
      </c>
      <c r="G786" t="s">
        <v>21</v>
      </c>
      <c r="H786" s="4">
        <v>350</v>
      </c>
      <c r="I786" s="5">
        <v>3</v>
      </c>
      <c r="K786" t="s">
        <v>26</v>
      </c>
    </row>
    <row r="787" spans="1:11" x14ac:dyDescent="0.3">
      <c r="A787">
        <v>1785</v>
      </c>
      <c r="B787" s="1">
        <v>46086</v>
      </c>
      <c r="C787" s="3">
        <v>0.54722222222222217</v>
      </c>
      <c r="D787" s="2">
        <f>tb_dados[[#This Row],[Data]]+tb_dados[[#This Row],[Hora]]</f>
        <v>46086.547222222223</v>
      </c>
      <c r="E787" t="s">
        <v>12</v>
      </c>
      <c r="F787" t="s">
        <v>15</v>
      </c>
      <c r="G787" t="s">
        <v>19</v>
      </c>
      <c r="H787" s="4">
        <v>850</v>
      </c>
      <c r="I787" s="5">
        <v>3</v>
      </c>
      <c r="K787" t="s">
        <v>25</v>
      </c>
    </row>
    <row r="788" spans="1:11" x14ac:dyDescent="0.3">
      <c r="A788">
        <v>1786</v>
      </c>
      <c r="B788" s="1">
        <v>46091</v>
      </c>
      <c r="C788" s="3">
        <v>0.94444444444444453</v>
      </c>
      <c r="D788" s="2">
        <f>tb_dados[[#This Row],[Data]]+tb_dados[[#This Row],[Hora]]</f>
        <v>46091.944444444445</v>
      </c>
      <c r="E788" t="s">
        <v>11</v>
      </c>
      <c r="F788" t="s">
        <v>16</v>
      </c>
      <c r="G788" t="s">
        <v>21</v>
      </c>
      <c r="H788" s="4">
        <v>350</v>
      </c>
      <c r="I788" s="5">
        <v>3</v>
      </c>
      <c r="K788" t="s">
        <v>26</v>
      </c>
    </row>
    <row r="789" spans="1:11" x14ac:dyDescent="0.3">
      <c r="A789">
        <v>1787</v>
      </c>
      <c r="B789" s="1">
        <v>46101</v>
      </c>
      <c r="C789" s="3">
        <v>0.64583333333333337</v>
      </c>
      <c r="D789" s="2">
        <f>tb_dados[[#This Row],[Data]]+tb_dados[[#This Row],[Hora]]</f>
        <v>46101.645833333336</v>
      </c>
      <c r="E789" t="s">
        <v>12</v>
      </c>
      <c r="F789" t="s">
        <v>14</v>
      </c>
      <c r="G789" t="s">
        <v>19</v>
      </c>
      <c r="H789" s="4">
        <v>850</v>
      </c>
      <c r="I789" s="5">
        <v>3</v>
      </c>
      <c r="K789" t="s">
        <v>25</v>
      </c>
    </row>
    <row r="790" spans="1:11" x14ac:dyDescent="0.3">
      <c r="A790">
        <v>1788</v>
      </c>
      <c r="B790" s="1">
        <v>46084</v>
      </c>
      <c r="C790" s="3">
        <v>0.43194444444444446</v>
      </c>
      <c r="D790" s="2">
        <f>tb_dados[[#This Row],[Data]]+tb_dados[[#This Row],[Hora]]</f>
        <v>46084.431944444441</v>
      </c>
      <c r="E790" t="s">
        <v>12</v>
      </c>
      <c r="F790" t="s">
        <v>15</v>
      </c>
      <c r="G790" t="s">
        <v>19</v>
      </c>
      <c r="H790" s="4">
        <v>850</v>
      </c>
      <c r="I790" s="5">
        <v>2</v>
      </c>
      <c r="K790" t="s">
        <v>27</v>
      </c>
    </row>
    <row r="791" spans="1:11" x14ac:dyDescent="0.3">
      <c r="A791">
        <v>1789</v>
      </c>
      <c r="B791" s="1">
        <v>46103</v>
      </c>
      <c r="C791" s="3">
        <v>0.78125</v>
      </c>
      <c r="D791" s="2">
        <f>tb_dados[[#This Row],[Data]]+tb_dados[[#This Row],[Hora]]</f>
        <v>46103.78125</v>
      </c>
      <c r="E791" t="s">
        <v>10</v>
      </c>
      <c r="F791" t="s">
        <v>16</v>
      </c>
      <c r="G791" t="s">
        <v>17</v>
      </c>
      <c r="H791" s="4">
        <v>900</v>
      </c>
      <c r="I791" s="5">
        <v>3</v>
      </c>
      <c r="K791" t="s">
        <v>26</v>
      </c>
    </row>
    <row r="792" spans="1:11" x14ac:dyDescent="0.3">
      <c r="A792">
        <v>1790</v>
      </c>
      <c r="B792" s="1">
        <v>46105</v>
      </c>
      <c r="C792" s="3">
        <v>0.37638888888888888</v>
      </c>
      <c r="D792" s="2">
        <f>tb_dados[[#This Row],[Data]]+tb_dados[[#This Row],[Hora]]</f>
        <v>46105.376388888886</v>
      </c>
      <c r="E792" t="s">
        <v>10</v>
      </c>
      <c r="F792" t="s">
        <v>15</v>
      </c>
      <c r="G792" t="s">
        <v>17</v>
      </c>
      <c r="H792" s="4">
        <v>900</v>
      </c>
      <c r="I792" s="5">
        <v>3</v>
      </c>
      <c r="K792" t="s">
        <v>27</v>
      </c>
    </row>
    <row r="793" spans="1:11" x14ac:dyDescent="0.3">
      <c r="A793">
        <v>1791</v>
      </c>
      <c r="B793" s="1">
        <v>46102</v>
      </c>
      <c r="C793" s="3">
        <v>0.72222222222222221</v>
      </c>
      <c r="D793" s="2">
        <f>tb_dados[[#This Row],[Data]]+tb_dados[[#This Row],[Hora]]</f>
        <v>46102.722222222219</v>
      </c>
      <c r="E793" t="s">
        <v>12</v>
      </c>
      <c r="F793" t="s">
        <v>14</v>
      </c>
      <c r="G793" t="s">
        <v>20</v>
      </c>
      <c r="H793" s="4">
        <v>420</v>
      </c>
      <c r="I793" s="5">
        <v>2</v>
      </c>
      <c r="K793" t="s">
        <v>26</v>
      </c>
    </row>
    <row r="794" spans="1:11" x14ac:dyDescent="0.3">
      <c r="A794">
        <v>1792</v>
      </c>
      <c r="B794" s="1">
        <v>46090</v>
      </c>
      <c r="C794" s="3">
        <v>0.5444444444444444</v>
      </c>
      <c r="D794" s="2">
        <f>tb_dados[[#This Row],[Data]]+tb_dados[[#This Row],[Hora]]</f>
        <v>46090.544444444444</v>
      </c>
      <c r="E794" t="s">
        <v>10</v>
      </c>
      <c r="F794" t="s">
        <v>16</v>
      </c>
      <c r="G794" t="s">
        <v>23</v>
      </c>
      <c r="H794" s="4">
        <v>4500</v>
      </c>
      <c r="I794" s="5">
        <v>2</v>
      </c>
      <c r="K794" t="s">
        <v>27</v>
      </c>
    </row>
    <row r="795" spans="1:11" x14ac:dyDescent="0.3">
      <c r="A795">
        <v>1793</v>
      </c>
      <c r="B795" s="1">
        <v>46083</v>
      </c>
      <c r="C795" s="3">
        <v>0.85416666666666663</v>
      </c>
      <c r="D795" s="2">
        <f>tb_dados[[#This Row],[Data]]+tb_dados[[#This Row],[Hora]]</f>
        <v>46083.854166666664</v>
      </c>
      <c r="E795" t="s">
        <v>10</v>
      </c>
      <c r="F795" t="s">
        <v>15</v>
      </c>
      <c r="G795" t="s">
        <v>17</v>
      </c>
      <c r="H795" s="4">
        <v>900</v>
      </c>
      <c r="I795" s="5">
        <v>3</v>
      </c>
      <c r="K795" t="s">
        <v>27</v>
      </c>
    </row>
    <row r="796" spans="1:11" x14ac:dyDescent="0.3">
      <c r="A796">
        <v>1794</v>
      </c>
      <c r="B796" s="1">
        <v>46092</v>
      </c>
      <c r="C796" s="3">
        <v>0.72499999999999998</v>
      </c>
      <c r="D796" s="2">
        <f>tb_dados[[#This Row],[Data]]+tb_dados[[#This Row],[Hora]]</f>
        <v>46092.724999999999</v>
      </c>
      <c r="E796" t="s">
        <v>10</v>
      </c>
      <c r="F796" t="s">
        <v>14</v>
      </c>
      <c r="G796" t="s">
        <v>22</v>
      </c>
      <c r="H796" s="4">
        <v>2100</v>
      </c>
      <c r="I796" s="5">
        <v>3</v>
      </c>
      <c r="K796" t="s">
        <v>25</v>
      </c>
    </row>
    <row r="797" spans="1:11" x14ac:dyDescent="0.3">
      <c r="A797">
        <v>1795</v>
      </c>
      <c r="B797" s="1">
        <v>46093</v>
      </c>
      <c r="C797" s="3">
        <v>0.8652777777777777</v>
      </c>
      <c r="D797" s="2">
        <f>tb_dados[[#This Row],[Data]]+tb_dados[[#This Row],[Hora]]</f>
        <v>46093.865277777775</v>
      </c>
      <c r="E797" t="s">
        <v>11</v>
      </c>
      <c r="F797" t="s">
        <v>14</v>
      </c>
      <c r="G797" t="s">
        <v>18</v>
      </c>
      <c r="H797" s="4">
        <v>120</v>
      </c>
      <c r="I797" s="5">
        <v>3</v>
      </c>
      <c r="K797" t="s">
        <v>27</v>
      </c>
    </row>
    <row r="798" spans="1:11" x14ac:dyDescent="0.3">
      <c r="A798">
        <v>1796</v>
      </c>
      <c r="B798" s="1">
        <v>46094</v>
      </c>
      <c r="C798" s="3">
        <v>0.36458333333333331</v>
      </c>
      <c r="D798" s="2">
        <f>tb_dados[[#This Row],[Data]]+tb_dados[[#This Row],[Hora]]</f>
        <v>46094.364583333336</v>
      </c>
      <c r="E798" t="s">
        <v>12</v>
      </c>
      <c r="F798" t="s">
        <v>15</v>
      </c>
      <c r="G798" t="s">
        <v>20</v>
      </c>
      <c r="H798" s="4">
        <v>420</v>
      </c>
      <c r="I798" s="5">
        <v>2</v>
      </c>
      <c r="K798" t="s">
        <v>27</v>
      </c>
    </row>
    <row r="799" spans="1:11" x14ac:dyDescent="0.3">
      <c r="A799">
        <v>1797</v>
      </c>
      <c r="B799" s="1">
        <v>46089</v>
      </c>
      <c r="C799" s="3">
        <v>0.40069444444444446</v>
      </c>
      <c r="D799" s="2">
        <f>tb_dados[[#This Row],[Data]]+tb_dados[[#This Row],[Hora]]</f>
        <v>46089.400694444441</v>
      </c>
      <c r="E799" t="s">
        <v>10</v>
      </c>
      <c r="F799" t="s">
        <v>15</v>
      </c>
      <c r="G799" t="s">
        <v>23</v>
      </c>
      <c r="H799" s="4">
        <v>4500</v>
      </c>
      <c r="I799" s="5">
        <v>2</v>
      </c>
      <c r="K799" t="s">
        <v>26</v>
      </c>
    </row>
    <row r="800" spans="1:11" x14ac:dyDescent="0.3">
      <c r="A800">
        <v>1798</v>
      </c>
      <c r="B800" s="1">
        <v>46094</v>
      </c>
      <c r="C800" s="3">
        <v>0.3756944444444445</v>
      </c>
      <c r="D800" s="2">
        <f>tb_dados[[#This Row],[Data]]+tb_dados[[#This Row],[Hora]]</f>
        <v>46094.375694444447</v>
      </c>
      <c r="E800" t="s">
        <v>11</v>
      </c>
      <c r="F800" t="s">
        <v>16</v>
      </c>
      <c r="G800" t="s">
        <v>24</v>
      </c>
      <c r="H800" s="4">
        <v>280</v>
      </c>
      <c r="I800" s="5">
        <v>1</v>
      </c>
      <c r="K800" t="s">
        <v>28</v>
      </c>
    </row>
    <row r="801" spans="1:11" x14ac:dyDescent="0.3">
      <c r="A801">
        <v>1799</v>
      </c>
      <c r="B801" s="1">
        <v>46102</v>
      </c>
      <c r="C801" s="3">
        <v>0.37638888888888888</v>
      </c>
      <c r="D801" s="2">
        <f>tb_dados[[#This Row],[Data]]+tb_dados[[#This Row],[Hora]]</f>
        <v>46102.376388888886</v>
      </c>
      <c r="E801" t="s">
        <v>11</v>
      </c>
      <c r="F801" t="s">
        <v>13</v>
      </c>
      <c r="G801" t="s">
        <v>21</v>
      </c>
      <c r="H801" s="4">
        <v>350</v>
      </c>
      <c r="I801" s="5">
        <v>1</v>
      </c>
      <c r="K801" t="s">
        <v>27</v>
      </c>
    </row>
    <row r="802" spans="1:11" x14ac:dyDescent="0.3">
      <c r="A802">
        <v>1800</v>
      </c>
      <c r="B802" s="1">
        <v>46097</v>
      </c>
      <c r="C802" s="3">
        <v>0.59027777777777779</v>
      </c>
      <c r="D802" s="2">
        <f>tb_dados[[#This Row],[Data]]+tb_dados[[#This Row],[Hora]]</f>
        <v>46097.590277777781</v>
      </c>
      <c r="E802" t="s">
        <v>10</v>
      </c>
      <c r="F802" t="s">
        <v>16</v>
      </c>
      <c r="G802" t="s">
        <v>23</v>
      </c>
      <c r="H802" s="4">
        <v>4500</v>
      </c>
      <c r="I802" s="5">
        <v>2</v>
      </c>
      <c r="K802" t="s">
        <v>25</v>
      </c>
    </row>
    <row r="803" spans="1:11" x14ac:dyDescent="0.3">
      <c r="A803">
        <v>1801</v>
      </c>
      <c r="B803" s="1">
        <v>46088</v>
      </c>
      <c r="C803" s="3">
        <v>0.72152777777777777</v>
      </c>
      <c r="D803" s="2">
        <f>tb_dados[[#This Row],[Data]]+tb_dados[[#This Row],[Hora]]</f>
        <v>46088.72152777778</v>
      </c>
      <c r="E803" t="s">
        <v>12</v>
      </c>
      <c r="F803" t="s">
        <v>15</v>
      </c>
      <c r="G803" t="s">
        <v>19</v>
      </c>
      <c r="H803" s="4">
        <v>850</v>
      </c>
      <c r="I803" s="5">
        <v>1</v>
      </c>
      <c r="K803" t="s">
        <v>27</v>
      </c>
    </row>
    <row r="804" spans="1:11" x14ac:dyDescent="0.3">
      <c r="A804">
        <v>1802</v>
      </c>
      <c r="B804" s="1">
        <v>46102</v>
      </c>
      <c r="C804" s="3">
        <v>0.83194444444444438</v>
      </c>
      <c r="D804" s="2">
        <f>tb_dados[[#This Row],[Data]]+tb_dados[[#This Row],[Hora]]</f>
        <v>46102.831944444442</v>
      </c>
      <c r="E804" t="s">
        <v>11</v>
      </c>
      <c r="F804" t="s">
        <v>15</v>
      </c>
      <c r="G804" t="s">
        <v>21</v>
      </c>
      <c r="H804" s="4">
        <v>350</v>
      </c>
      <c r="I804" s="5">
        <v>1</v>
      </c>
      <c r="K804" t="s">
        <v>26</v>
      </c>
    </row>
    <row r="805" spans="1:11" x14ac:dyDescent="0.3">
      <c r="A805">
        <v>1803</v>
      </c>
      <c r="B805" s="1">
        <v>46101</v>
      </c>
      <c r="C805" s="3">
        <v>0.49861111111111112</v>
      </c>
      <c r="D805" s="2">
        <f>tb_dados[[#This Row],[Data]]+tb_dados[[#This Row],[Hora]]</f>
        <v>46101.498611111114</v>
      </c>
      <c r="E805" t="s">
        <v>10</v>
      </c>
      <c r="F805" t="s">
        <v>14</v>
      </c>
      <c r="G805" t="s">
        <v>23</v>
      </c>
      <c r="H805" s="4">
        <v>4500</v>
      </c>
      <c r="I805" s="5">
        <v>3</v>
      </c>
      <c r="K805" t="s">
        <v>27</v>
      </c>
    </row>
    <row r="806" spans="1:11" x14ac:dyDescent="0.3">
      <c r="A806">
        <v>1804</v>
      </c>
      <c r="B806" s="1">
        <v>46085</v>
      </c>
      <c r="C806" s="3">
        <v>0.4916666666666667</v>
      </c>
      <c r="D806" s="2">
        <f>tb_dados[[#This Row],[Data]]+tb_dados[[#This Row],[Hora]]</f>
        <v>46085.491666666669</v>
      </c>
      <c r="E806" t="s">
        <v>12</v>
      </c>
      <c r="F806" t="s">
        <v>14</v>
      </c>
      <c r="G806" t="s">
        <v>19</v>
      </c>
      <c r="H806" s="4">
        <v>850</v>
      </c>
      <c r="I806" s="5">
        <v>3</v>
      </c>
      <c r="K806" t="s">
        <v>27</v>
      </c>
    </row>
    <row r="807" spans="1:11" x14ac:dyDescent="0.3">
      <c r="A807">
        <v>1805</v>
      </c>
      <c r="B807" s="1">
        <v>46105</v>
      </c>
      <c r="C807" s="3">
        <v>0.6777777777777777</v>
      </c>
      <c r="D807" s="2">
        <f>tb_dados[[#This Row],[Data]]+tb_dados[[#This Row],[Hora]]</f>
        <v>46105.677777777775</v>
      </c>
      <c r="E807" t="s">
        <v>10</v>
      </c>
      <c r="F807" t="s">
        <v>16</v>
      </c>
      <c r="G807" t="s">
        <v>22</v>
      </c>
      <c r="H807" s="4">
        <v>2100</v>
      </c>
      <c r="I807" s="5">
        <v>3</v>
      </c>
      <c r="K807" t="s">
        <v>25</v>
      </c>
    </row>
    <row r="808" spans="1:11" x14ac:dyDescent="0.3">
      <c r="A808">
        <v>1806</v>
      </c>
      <c r="B808" s="1">
        <v>46081</v>
      </c>
      <c r="C808" s="3">
        <v>0.35694444444444445</v>
      </c>
      <c r="D808" s="2">
        <f>tb_dados[[#This Row],[Data]]+tb_dados[[#This Row],[Hora]]</f>
        <v>46081.356944444444</v>
      </c>
      <c r="E808" t="s">
        <v>12</v>
      </c>
      <c r="F808" t="s">
        <v>13</v>
      </c>
      <c r="G808" t="s">
        <v>20</v>
      </c>
      <c r="H808" s="4">
        <v>420</v>
      </c>
      <c r="I808" s="5">
        <v>1</v>
      </c>
      <c r="K808" t="s">
        <v>26</v>
      </c>
    </row>
    <row r="809" spans="1:11" x14ac:dyDescent="0.3">
      <c r="A809">
        <v>1807</v>
      </c>
      <c r="B809" s="1">
        <v>46085</v>
      </c>
      <c r="C809" s="3">
        <v>0.45624999999999999</v>
      </c>
      <c r="D809" s="2">
        <f>tb_dados[[#This Row],[Data]]+tb_dados[[#This Row],[Hora]]</f>
        <v>46085.456250000003</v>
      </c>
      <c r="E809" t="s">
        <v>12</v>
      </c>
      <c r="F809" t="s">
        <v>16</v>
      </c>
      <c r="G809" t="s">
        <v>19</v>
      </c>
      <c r="H809" s="4">
        <v>850</v>
      </c>
      <c r="I809" s="5">
        <v>1</v>
      </c>
      <c r="K809" t="s">
        <v>25</v>
      </c>
    </row>
    <row r="810" spans="1:11" x14ac:dyDescent="0.3">
      <c r="A810">
        <v>1808</v>
      </c>
      <c r="B810" s="1">
        <v>46093</v>
      </c>
      <c r="C810" s="3">
        <v>0.55277777777777781</v>
      </c>
      <c r="D810" s="2">
        <f>tb_dados[[#This Row],[Data]]+tb_dados[[#This Row],[Hora]]</f>
        <v>46093.552777777775</v>
      </c>
      <c r="E810" t="s">
        <v>11</v>
      </c>
      <c r="F810" t="s">
        <v>13</v>
      </c>
      <c r="G810" t="s">
        <v>18</v>
      </c>
      <c r="H810" s="4">
        <v>120</v>
      </c>
      <c r="I810" s="5">
        <v>3</v>
      </c>
      <c r="K810" t="s">
        <v>26</v>
      </c>
    </row>
    <row r="811" spans="1:11" x14ac:dyDescent="0.3">
      <c r="A811">
        <v>1809</v>
      </c>
      <c r="B811" s="1">
        <v>46095</v>
      </c>
      <c r="C811" s="3">
        <v>0.44166666666666665</v>
      </c>
      <c r="D811" s="2">
        <f>tb_dados[[#This Row],[Data]]+tb_dados[[#This Row],[Hora]]</f>
        <v>46095.441666666666</v>
      </c>
      <c r="E811" t="s">
        <v>11</v>
      </c>
      <c r="F811" t="s">
        <v>14</v>
      </c>
      <c r="G811" t="s">
        <v>18</v>
      </c>
      <c r="H811" s="4">
        <v>120</v>
      </c>
      <c r="I811" s="5">
        <v>3</v>
      </c>
      <c r="K811" t="s">
        <v>27</v>
      </c>
    </row>
    <row r="812" spans="1:11" x14ac:dyDescent="0.3">
      <c r="A812">
        <v>1810</v>
      </c>
      <c r="B812" s="1">
        <v>46090</v>
      </c>
      <c r="C812" s="3">
        <v>0.88055555555555554</v>
      </c>
      <c r="D812" s="2">
        <f>tb_dados[[#This Row],[Data]]+tb_dados[[#This Row],[Hora]]</f>
        <v>46090.880555555559</v>
      </c>
      <c r="E812" t="s">
        <v>12</v>
      </c>
      <c r="F812" t="s">
        <v>15</v>
      </c>
      <c r="G812" t="s">
        <v>19</v>
      </c>
      <c r="H812" s="4">
        <v>850</v>
      </c>
      <c r="I812" s="5">
        <v>2</v>
      </c>
      <c r="K812" t="s">
        <v>28</v>
      </c>
    </row>
    <row r="813" spans="1:11" x14ac:dyDescent="0.3">
      <c r="A813">
        <v>1811</v>
      </c>
      <c r="B813" s="1">
        <v>46103</v>
      </c>
      <c r="C813" s="3">
        <v>0.87013888888888891</v>
      </c>
      <c r="D813" s="2">
        <f>tb_dados[[#This Row],[Data]]+tb_dados[[#This Row],[Hora]]</f>
        <v>46103.870138888888</v>
      </c>
      <c r="E813" t="s">
        <v>10</v>
      </c>
      <c r="F813" t="s">
        <v>13</v>
      </c>
      <c r="G813" t="s">
        <v>22</v>
      </c>
      <c r="H813" s="4">
        <v>2100</v>
      </c>
      <c r="I813" s="5">
        <v>3</v>
      </c>
      <c r="K813" t="s">
        <v>25</v>
      </c>
    </row>
    <row r="814" spans="1:11" x14ac:dyDescent="0.3">
      <c r="A814">
        <v>1812</v>
      </c>
      <c r="B814" s="1">
        <v>46105</v>
      </c>
      <c r="C814" s="3">
        <v>0.62152777777777779</v>
      </c>
      <c r="D814" s="2">
        <f>tb_dados[[#This Row],[Data]]+tb_dados[[#This Row],[Hora]]</f>
        <v>46105.621527777781</v>
      </c>
      <c r="E814" t="s">
        <v>12</v>
      </c>
      <c r="F814" t="s">
        <v>13</v>
      </c>
      <c r="G814" t="s">
        <v>20</v>
      </c>
      <c r="H814" s="4">
        <v>420</v>
      </c>
      <c r="I814" s="5">
        <v>1</v>
      </c>
      <c r="K814" t="s">
        <v>28</v>
      </c>
    </row>
    <row r="815" spans="1:11" x14ac:dyDescent="0.3">
      <c r="A815">
        <v>1813</v>
      </c>
      <c r="B815" s="1">
        <v>46085</v>
      </c>
      <c r="C815" s="3">
        <v>0.88680555555555562</v>
      </c>
      <c r="D815" s="2">
        <f>tb_dados[[#This Row],[Data]]+tb_dados[[#This Row],[Hora]]</f>
        <v>46085.886805555558</v>
      </c>
      <c r="E815" t="s">
        <v>10</v>
      </c>
      <c r="F815" t="s">
        <v>15</v>
      </c>
      <c r="G815" t="s">
        <v>23</v>
      </c>
      <c r="H815" s="4">
        <v>4500</v>
      </c>
      <c r="I815" s="5">
        <v>1</v>
      </c>
      <c r="K815" t="s">
        <v>26</v>
      </c>
    </row>
    <row r="816" spans="1:11" x14ac:dyDescent="0.3">
      <c r="A816">
        <v>1814</v>
      </c>
      <c r="B816" s="1">
        <v>46100</v>
      </c>
      <c r="C816" s="3">
        <v>0.70416666666666661</v>
      </c>
      <c r="D816" s="2">
        <f>tb_dados[[#This Row],[Data]]+tb_dados[[#This Row],[Hora]]</f>
        <v>46100.70416666667</v>
      </c>
      <c r="E816" t="s">
        <v>10</v>
      </c>
      <c r="F816" t="s">
        <v>15</v>
      </c>
      <c r="G816" t="s">
        <v>22</v>
      </c>
      <c r="H816" s="4">
        <v>2100</v>
      </c>
      <c r="I816" s="5">
        <v>3</v>
      </c>
      <c r="K816" t="s">
        <v>26</v>
      </c>
    </row>
    <row r="817" spans="1:11" x14ac:dyDescent="0.3">
      <c r="A817">
        <v>1815</v>
      </c>
      <c r="B817" s="1">
        <v>46085</v>
      </c>
      <c r="C817" s="3">
        <v>0.86736111111111114</v>
      </c>
      <c r="D817" s="2">
        <f>tb_dados[[#This Row],[Data]]+tb_dados[[#This Row],[Hora]]</f>
        <v>46085.867361111108</v>
      </c>
      <c r="E817" t="s">
        <v>11</v>
      </c>
      <c r="F817" t="s">
        <v>14</v>
      </c>
      <c r="G817" t="s">
        <v>21</v>
      </c>
      <c r="H817" s="4">
        <v>350</v>
      </c>
      <c r="I817" s="5">
        <v>2</v>
      </c>
      <c r="K817" t="s">
        <v>25</v>
      </c>
    </row>
    <row r="818" spans="1:11" x14ac:dyDescent="0.3">
      <c r="A818">
        <v>1816</v>
      </c>
      <c r="B818" s="1">
        <v>46099</v>
      </c>
      <c r="C818" s="3">
        <v>0.41805555555555557</v>
      </c>
      <c r="D818" s="2">
        <f>tb_dados[[#This Row],[Data]]+tb_dados[[#This Row],[Hora]]</f>
        <v>46099.418055555558</v>
      </c>
      <c r="E818" t="s">
        <v>12</v>
      </c>
      <c r="F818" t="s">
        <v>16</v>
      </c>
      <c r="G818" t="s">
        <v>19</v>
      </c>
      <c r="H818" s="4">
        <v>850</v>
      </c>
      <c r="I818" s="5">
        <v>3</v>
      </c>
      <c r="K818" t="s">
        <v>27</v>
      </c>
    </row>
    <row r="819" spans="1:11" x14ac:dyDescent="0.3">
      <c r="A819">
        <v>1817</v>
      </c>
      <c r="B819" s="1">
        <v>46097</v>
      </c>
      <c r="C819" s="3">
        <v>0.80763888888888891</v>
      </c>
      <c r="D819" s="2">
        <f>tb_dados[[#This Row],[Data]]+tb_dados[[#This Row],[Hora]]</f>
        <v>46097.807638888888</v>
      </c>
      <c r="E819" t="s">
        <v>10</v>
      </c>
      <c r="F819" t="s">
        <v>15</v>
      </c>
      <c r="G819" t="s">
        <v>17</v>
      </c>
      <c r="H819" s="4">
        <v>900</v>
      </c>
      <c r="I819" s="5">
        <v>1</v>
      </c>
      <c r="K819" t="s">
        <v>27</v>
      </c>
    </row>
    <row r="820" spans="1:11" x14ac:dyDescent="0.3">
      <c r="A820">
        <v>1818</v>
      </c>
      <c r="B820" s="1">
        <v>46095</v>
      </c>
      <c r="C820" s="3">
        <v>0.56527777777777777</v>
      </c>
      <c r="D820" s="2">
        <f>tb_dados[[#This Row],[Data]]+tb_dados[[#This Row],[Hora]]</f>
        <v>46095.56527777778</v>
      </c>
      <c r="E820" t="s">
        <v>10</v>
      </c>
      <c r="F820" t="s">
        <v>14</v>
      </c>
      <c r="G820" t="s">
        <v>23</v>
      </c>
      <c r="H820" s="4">
        <v>4500</v>
      </c>
      <c r="I820" s="5">
        <v>2</v>
      </c>
      <c r="K820" t="s">
        <v>27</v>
      </c>
    </row>
    <row r="821" spans="1:11" x14ac:dyDescent="0.3">
      <c r="A821">
        <v>1819</v>
      </c>
      <c r="B821" s="1">
        <v>46095</v>
      </c>
      <c r="C821" s="3">
        <v>0.42777777777777781</v>
      </c>
      <c r="D821" s="2">
        <f>tb_dados[[#This Row],[Data]]+tb_dados[[#This Row],[Hora]]</f>
        <v>46095.427777777775</v>
      </c>
      <c r="E821" t="s">
        <v>10</v>
      </c>
      <c r="F821" t="s">
        <v>15</v>
      </c>
      <c r="G821" t="s">
        <v>17</v>
      </c>
      <c r="H821" s="4">
        <v>900</v>
      </c>
      <c r="I821" s="5">
        <v>1</v>
      </c>
      <c r="K821" t="s">
        <v>25</v>
      </c>
    </row>
    <row r="822" spans="1:11" x14ac:dyDescent="0.3">
      <c r="A822">
        <v>1820</v>
      </c>
      <c r="B822" s="1">
        <v>46097</v>
      </c>
      <c r="C822" s="3">
        <v>0.68888888888888899</v>
      </c>
      <c r="D822" s="2">
        <f>tb_dados[[#This Row],[Data]]+tb_dados[[#This Row],[Hora]]</f>
        <v>46097.688888888886</v>
      </c>
      <c r="E822" t="s">
        <v>11</v>
      </c>
      <c r="F822" t="s">
        <v>15</v>
      </c>
      <c r="G822" t="s">
        <v>24</v>
      </c>
      <c r="H822" s="4">
        <v>280</v>
      </c>
      <c r="I822" s="5">
        <v>3</v>
      </c>
      <c r="K822" t="s">
        <v>27</v>
      </c>
    </row>
    <row r="823" spans="1:11" x14ac:dyDescent="0.3">
      <c r="A823">
        <v>1821</v>
      </c>
      <c r="B823" s="1">
        <v>46090</v>
      </c>
      <c r="C823" s="3">
        <v>0.49027777777777781</v>
      </c>
      <c r="D823" s="2">
        <f>tb_dados[[#This Row],[Data]]+tb_dados[[#This Row],[Hora]]</f>
        <v>46090.490277777775</v>
      </c>
      <c r="E823" t="s">
        <v>10</v>
      </c>
      <c r="F823" t="s">
        <v>16</v>
      </c>
      <c r="G823" t="s">
        <v>23</v>
      </c>
      <c r="H823" s="4">
        <v>4500</v>
      </c>
      <c r="I823" s="5">
        <v>3</v>
      </c>
      <c r="K823" t="s">
        <v>25</v>
      </c>
    </row>
    <row r="824" spans="1:11" x14ac:dyDescent="0.3">
      <c r="A824">
        <v>1822</v>
      </c>
      <c r="B824" s="1">
        <v>46102</v>
      </c>
      <c r="C824" s="3">
        <v>0.66041666666666665</v>
      </c>
      <c r="D824" s="2">
        <f>tb_dados[[#This Row],[Data]]+tb_dados[[#This Row],[Hora]]</f>
        <v>46102.660416666666</v>
      </c>
      <c r="E824" t="s">
        <v>10</v>
      </c>
      <c r="F824" t="s">
        <v>15</v>
      </c>
      <c r="G824" t="s">
        <v>22</v>
      </c>
      <c r="H824" s="4">
        <v>2100</v>
      </c>
      <c r="I824" s="5">
        <v>1</v>
      </c>
      <c r="K824" t="s">
        <v>28</v>
      </c>
    </row>
    <row r="825" spans="1:11" x14ac:dyDescent="0.3">
      <c r="A825">
        <v>1823</v>
      </c>
      <c r="B825" s="1">
        <v>46079</v>
      </c>
      <c r="C825" s="3">
        <v>0.71527777777777779</v>
      </c>
      <c r="D825" s="2">
        <f>tb_dados[[#This Row],[Data]]+tb_dados[[#This Row],[Hora]]</f>
        <v>46079.715277777781</v>
      </c>
      <c r="E825" t="s">
        <v>12</v>
      </c>
      <c r="F825" t="s">
        <v>14</v>
      </c>
      <c r="G825" t="s">
        <v>19</v>
      </c>
      <c r="H825" s="4">
        <v>850</v>
      </c>
      <c r="I825" s="5">
        <v>3</v>
      </c>
      <c r="K825" t="s">
        <v>28</v>
      </c>
    </row>
    <row r="826" spans="1:11" x14ac:dyDescent="0.3">
      <c r="A826">
        <v>1824</v>
      </c>
      <c r="B826" s="1">
        <v>46099</v>
      </c>
      <c r="C826" s="3">
        <v>0.67013888888888884</v>
      </c>
      <c r="D826" s="2">
        <f>tb_dados[[#This Row],[Data]]+tb_dados[[#This Row],[Hora]]</f>
        <v>46099.670138888891</v>
      </c>
      <c r="E826" t="s">
        <v>10</v>
      </c>
      <c r="F826" t="s">
        <v>16</v>
      </c>
      <c r="G826" t="s">
        <v>22</v>
      </c>
      <c r="H826" s="4">
        <v>2100</v>
      </c>
      <c r="I826" s="5">
        <v>1</v>
      </c>
      <c r="K826" t="s">
        <v>26</v>
      </c>
    </row>
    <row r="827" spans="1:11" x14ac:dyDescent="0.3">
      <c r="A827">
        <v>1825</v>
      </c>
      <c r="B827" s="1">
        <v>46101</v>
      </c>
      <c r="C827" s="3">
        <v>0.9291666666666667</v>
      </c>
      <c r="D827" s="2">
        <f>tb_dados[[#This Row],[Data]]+tb_dados[[#This Row],[Hora]]</f>
        <v>46101.929166666669</v>
      </c>
      <c r="E827" t="s">
        <v>10</v>
      </c>
      <c r="F827" t="s">
        <v>13</v>
      </c>
      <c r="G827" t="s">
        <v>22</v>
      </c>
      <c r="H827" s="4">
        <v>2100</v>
      </c>
      <c r="I827" s="5">
        <v>1</v>
      </c>
      <c r="K827" t="s">
        <v>25</v>
      </c>
    </row>
    <row r="828" spans="1:11" x14ac:dyDescent="0.3">
      <c r="A828">
        <v>1826</v>
      </c>
      <c r="B828" s="1">
        <v>46095</v>
      </c>
      <c r="C828" s="3">
        <v>0.59097222222222223</v>
      </c>
      <c r="D828" s="2">
        <f>tb_dados[[#This Row],[Data]]+tb_dados[[#This Row],[Hora]]</f>
        <v>46095.59097222222</v>
      </c>
      <c r="E828" t="s">
        <v>12</v>
      </c>
      <c r="F828" t="s">
        <v>16</v>
      </c>
      <c r="G828" t="s">
        <v>20</v>
      </c>
      <c r="H828" s="4">
        <v>420</v>
      </c>
      <c r="I828" s="5">
        <v>1</v>
      </c>
      <c r="K828" t="s">
        <v>26</v>
      </c>
    </row>
    <row r="829" spans="1:11" x14ac:dyDescent="0.3">
      <c r="A829">
        <v>1827</v>
      </c>
      <c r="B829" s="1">
        <v>46090</v>
      </c>
      <c r="C829" s="3">
        <v>0.83888888888888891</v>
      </c>
      <c r="D829" s="2">
        <f>tb_dados[[#This Row],[Data]]+tb_dados[[#This Row],[Hora]]</f>
        <v>46090.838888888888</v>
      </c>
      <c r="E829" t="s">
        <v>10</v>
      </c>
      <c r="F829" t="s">
        <v>15</v>
      </c>
      <c r="G829" t="s">
        <v>17</v>
      </c>
      <c r="H829" s="4">
        <v>900</v>
      </c>
      <c r="I829" s="5">
        <v>2</v>
      </c>
      <c r="K829" t="s">
        <v>28</v>
      </c>
    </row>
    <row r="830" spans="1:11" x14ac:dyDescent="0.3">
      <c r="A830">
        <v>1828</v>
      </c>
      <c r="B830" s="1">
        <v>46083</v>
      </c>
      <c r="C830" s="3">
        <v>0.75555555555555554</v>
      </c>
      <c r="D830" s="2">
        <f>tb_dados[[#This Row],[Data]]+tb_dados[[#This Row],[Hora]]</f>
        <v>46083.755555555559</v>
      </c>
      <c r="E830" t="s">
        <v>12</v>
      </c>
      <c r="F830" t="s">
        <v>14</v>
      </c>
      <c r="G830" t="s">
        <v>19</v>
      </c>
      <c r="H830" s="4">
        <v>850</v>
      </c>
      <c r="I830" s="5">
        <v>1</v>
      </c>
      <c r="K830" t="s">
        <v>27</v>
      </c>
    </row>
    <row r="831" spans="1:11" x14ac:dyDescent="0.3">
      <c r="A831">
        <v>1829</v>
      </c>
      <c r="B831" s="1">
        <v>46087</v>
      </c>
      <c r="C831" s="3">
        <v>0.90902777777777777</v>
      </c>
      <c r="D831" s="2">
        <f>tb_dados[[#This Row],[Data]]+tb_dados[[#This Row],[Hora]]</f>
        <v>46087.90902777778</v>
      </c>
      <c r="E831" t="s">
        <v>11</v>
      </c>
      <c r="F831" t="s">
        <v>16</v>
      </c>
      <c r="G831" t="s">
        <v>18</v>
      </c>
      <c r="H831" s="4">
        <v>120</v>
      </c>
      <c r="I831" s="5">
        <v>3</v>
      </c>
      <c r="K831" t="s">
        <v>25</v>
      </c>
    </row>
    <row r="832" spans="1:11" x14ac:dyDescent="0.3">
      <c r="A832">
        <v>1830</v>
      </c>
      <c r="B832" s="1">
        <v>46083</v>
      </c>
      <c r="C832" s="3">
        <v>0.81458333333333333</v>
      </c>
      <c r="D832" s="2">
        <f>tb_dados[[#This Row],[Data]]+tb_dados[[#This Row],[Hora]]</f>
        <v>46083.814583333333</v>
      </c>
      <c r="E832" t="s">
        <v>11</v>
      </c>
      <c r="F832" t="s">
        <v>14</v>
      </c>
      <c r="G832" t="s">
        <v>18</v>
      </c>
      <c r="H832" s="4">
        <v>120</v>
      </c>
      <c r="I832" s="5">
        <v>1</v>
      </c>
      <c r="K832" t="s">
        <v>27</v>
      </c>
    </row>
    <row r="833" spans="1:11" x14ac:dyDescent="0.3">
      <c r="A833">
        <v>1831</v>
      </c>
      <c r="B833" s="1">
        <v>46098</v>
      </c>
      <c r="C833" s="3">
        <v>0.58958333333333335</v>
      </c>
      <c r="D833" s="2">
        <f>tb_dados[[#This Row],[Data]]+tb_dados[[#This Row],[Hora]]</f>
        <v>46098.589583333334</v>
      </c>
      <c r="E833" t="s">
        <v>12</v>
      </c>
      <c r="F833" t="s">
        <v>13</v>
      </c>
      <c r="G833" t="s">
        <v>20</v>
      </c>
      <c r="H833" s="4">
        <v>420</v>
      </c>
      <c r="I833" s="5">
        <v>1</v>
      </c>
      <c r="K833" t="s">
        <v>27</v>
      </c>
    </row>
    <row r="834" spans="1:11" x14ac:dyDescent="0.3">
      <c r="A834">
        <v>1832</v>
      </c>
      <c r="B834" s="1">
        <v>46087</v>
      </c>
      <c r="C834" s="3">
        <v>0.95000000000000007</v>
      </c>
      <c r="D834" s="2">
        <f>tb_dados[[#This Row],[Data]]+tb_dados[[#This Row],[Hora]]</f>
        <v>46087.95</v>
      </c>
      <c r="E834" t="s">
        <v>12</v>
      </c>
      <c r="F834" t="s">
        <v>14</v>
      </c>
      <c r="G834" t="s">
        <v>20</v>
      </c>
      <c r="H834" s="4">
        <v>420</v>
      </c>
      <c r="I834" s="5">
        <v>3</v>
      </c>
      <c r="K834" t="s">
        <v>25</v>
      </c>
    </row>
    <row r="835" spans="1:11" x14ac:dyDescent="0.3">
      <c r="A835">
        <v>1833</v>
      </c>
      <c r="B835" s="1">
        <v>46083</v>
      </c>
      <c r="C835" s="3">
        <v>0.77916666666666667</v>
      </c>
      <c r="D835" s="2">
        <f>tb_dados[[#This Row],[Data]]+tb_dados[[#This Row],[Hora]]</f>
        <v>46083.779166666667</v>
      </c>
      <c r="E835" t="s">
        <v>12</v>
      </c>
      <c r="F835" t="s">
        <v>15</v>
      </c>
      <c r="G835" t="s">
        <v>19</v>
      </c>
      <c r="H835" s="4">
        <v>850</v>
      </c>
      <c r="I835" s="5">
        <v>2</v>
      </c>
      <c r="K835" t="s">
        <v>28</v>
      </c>
    </row>
    <row r="836" spans="1:11" x14ac:dyDescent="0.3">
      <c r="A836">
        <v>1834</v>
      </c>
      <c r="B836" s="1">
        <v>46081</v>
      </c>
      <c r="C836" s="3">
        <v>0.47013888888888888</v>
      </c>
      <c r="D836" s="2">
        <f>tb_dados[[#This Row],[Data]]+tb_dados[[#This Row],[Hora]]</f>
        <v>46081.470138888886</v>
      </c>
      <c r="E836" t="s">
        <v>12</v>
      </c>
      <c r="F836" t="s">
        <v>16</v>
      </c>
      <c r="G836" t="s">
        <v>19</v>
      </c>
      <c r="H836" s="4">
        <v>850</v>
      </c>
      <c r="I836" s="5">
        <v>3</v>
      </c>
      <c r="K836" t="s">
        <v>27</v>
      </c>
    </row>
    <row r="837" spans="1:11" x14ac:dyDescent="0.3">
      <c r="A837">
        <v>1835</v>
      </c>
      <c r="B837" s="1">
        <v>46092</v>
      </c>
      <c r="C837" s="3">
        <v>0.4694444444444445</v>
      </c>
      <c r="D837" s="2">
        <f>tb_dados[[#This Row],[Data]]+tb_dados[[#This Row],[Hora]]</f>
        <v>46092.469444444447</v>
      </c>
      <c r="E837" t="s">
        <v>12</v>
      </c>
      <c r="F837" t="s">
        <v>13</v>
      </c>
      <c r="G837" t="s">
        <v>19</v>
      </c>
      <c r="H837" s="4">
        <v>850</v>
      </c>
      <c r="I837" s="5">
        <v>2</v>
      </c>
      <c r="K837" t="s">
        <v>27</v>
      </c>
    </row>
    <row r="838" spans="1:11" x14ac:dyDescent="0.3">
      <c r="A838">
        <v>1836</v>
      </c>
      <c r="B838" s="1">
        <v>46089</v>
      </c>
      <c r="C838" s="3">
        <v>0.75555555555555554</v>
      </c>
      <c r="D838" s="2">
        <f>tb_dados[[#This Row],[Data]]+tb_dados[[#This Row],[Hora]]</f>
        <v>46089.755555555559</v>
      </c>
      <c r="E838" t="s">
        <v>11</v>
      </c>
      <c r="F838" t="s">
        <v>16</v>
      </c>
      <c r="G838" t="s">
        <v>24</v>
      </c>
      <c r="H838" s="4">
        <v>280</v>
      </c>
      <c r="I838" s="5">
        <v>1</v>
      </c>
      <c r="K838" t="s">
        <v>25</v>
      </c>
    </row>
    <row r="839" spans="1:11" x14ac:dyDescent="0.3">
      <c r="A839">
        <v>1837</v>
      </c>
      <c r="B839" s="1">
        <v>46104</v>
      </c>
      <c r="C839" s="3">
        <v>0.72777777777777775</v>
      </c>
      <c r="D839" s="2">
        <f>tb_dados[[#This Row],[Data]]+tb_dados[[#This Row],[Hora]]</f>
        <v>46104.727777777778</v>
      </c>
      <c r="E839" t="s">
        <v>10</v>
      </c>
      <c r="F839" t="s">
        <v>15</v>
      </c>
      <c r="G839" t="s">
        <v>17</v>
      </c>
      <c r="H839" s="4">
        <v>900</v>
      </c>
      <c r="I839" s="5">
        <v>3</v>
      </c>
      <c r="K839" t="s">
        <v>28</v>
      </c>
    </row>
    <row r="840" spans="1:11" x14ac:dyDescent="0.3">
      <c r="A840">
        <v>1838</v>
      </c>
      <c r="B840" s="1">
        <v>46088</v>
      </c>
      <c r="C840" s="3">
        <v>0.6479166666666667</v>
      </c>
      <c r="D840" s="2">
        <f>tb_dados[[#This Row],[Data]]+tb_dados[[#This Row],[Hora]]</f>
        <v>46088.647916666669</v>
      </c>
      <c r="E840" t="s">
        <v>11</v>
      </c>
      <c r="F840" t="s">
        <v>16</v>
      </c>
      <c r="G840" t="s">
        <v>18</v>
      </c>
      <c r="H840" s="4">
        <v>120</v>
      </c>
      <c r="I840" s="5">
        <v>2</v>
      </c>
      <c r="K840" t="s">
        <v>25</v>
      </c>
    </row>
    <row r="841" spans="1:11" x14ac:dyDescent="0.3">
      <c r="A841">
        <v>1839</v>
      </c>
      <c r="B841" s="1">
        <v>46087</v>
      </c>
      <c r="C841" s="3">
        <v>0.6020833333333333</v>
      </c>
      <c r="D841" s="2">
        <f>tb_dados[[#This Row],[Data]]+tb_dados[[#This Row],[Hora]]</f>
        <v>46087.602083333331</v>
      </c>
      <c r="E841" t="s">
        <v>12</v>
      </c>
      <c r="F841" t="s">
        <v>15</v>
      </c>
      <c r="G841" t="s">
        <v>20</v>
      </c>
      <c r="H841" s="4">
        <v>420</v>
      </c>
      <c r="I841" s="5">
        <v>1</v>
      </c>
      <c r="K841" t="s">
        <v>26</v>
      </c>
    </row>
    <row r="842" spans="1:11" x14ac:dyDescent="0.3">
      <c r="A842">
        <v>1840</v>
      </c>
      <c r="B842" s="1">
        <v>46093</v>
      </c>
      <c r="C842" s="3">
        <v>0.50138888888888888</v>
      </c>
      <c r="D842" s="2">
        <f>tb_dados[[#This Row],[Data]]+tb_dados[[#This Row],[Hora]]</f>
        <v>46093.501388888886</v>
      </c>
      <c r="E842" t="s">
        <v>11</v>
      </c>
      <c r="F842" t="s">
        <v>13</v>
      </c>
      <c r="G842" t="s">
        <v>18</v>
      </c>
      <c r="H842" s="4">
        <v>120</v>
      </c>
      <c r="I842" s="5">
        <v>3</v>
      </c>
      <c r="K842" t="s">
        <v>26</v>
      </c>
    </row>
    <row r="843" spans="1:11" x14ac:dyDescent="0.3">
      <c r="A843">
        <v>1841</v>
      </c>
      <c r="B843" s="1">
        <v>46096</v>
      </c>
      <c r="C843" s="3">
        <v>0.67708333333333337</v>
      </c>
      <c r="D843" s="2">
        <f>tb_dados[[#This Row],[Data]]+tb_dados[[#This Row],[Hora]]</f>
        <v>46096.677083333336</v>
      </c>
      <c r="E843" t="s">
        <v>11</v>
      </c>
      <c r="F843" t="s">
        <v>16</v>
      </c>
      <c r="G843" t="s">
        <v>21</v>
      </c>
      <c r="H843" s="4">
        <v>350</v>
      </c>
      <c r="I843" s="5">
        <v>2</v>
      </c>
      <c r="K843" t="s">
        <v>26</v>
      </c>
    </row>
    <row r="844" spans="1:11" x14ac:dyDescent="0.3">
      <c r="A844">
        <v>1842</v>
      </c>
      <c r="B844" s="1">
        <v>46087</v>
      </c>
      <c r="C844" s="3">
        <v>0.41319444444444442</v>
      </c>
      <c r="D844" s="2">
        <f>tb_dados[[#This Row],[Data]]+tb_dados[[#This Row],[Hora]]</f>
        <v>46087.413194444445</v>
      </c>
      <c r="E844" t="s">
        <v>11</v>
      </c>
      <c r="F844" t="s">
        <v>15</v>
      </c>
      <c r="G844" t="s">
        <v>18</v>
      </c>
      <c r="H844" s="4">
        <v>120</v>
      </c>
      <c r="I844" s="5">
        <v>1</v>
      </c>
      <c r="K844" t="s">
        <v>27</v>
      </c>
    </row>
    <row r="845" spans="1:11" x14ac:dyDescent="0.3">
      <c r="A845">
        <v>1843</v>
      </c>
      <c r="B845" s="1">
        <v>46081</v>
      </c>
      <c r="C845" s="3">
        <v>0.8041666666666667</v>
      </c>
      <c r="D845" s="2">
        <f>tb_dados[[#This Row],[Data]]+tb_dados[[#This Row],[Hora]]</f>
        <v>46081.804166666669</v>
      </c>
      <c r="E845" t="s">
        <v>10</v>
      </c>
      <c r="F845" t="s">
        <v>16</v>
      </c>
      <c r="G845" t="s">
        <v>17</v>
      </c>
      <c r="H845" s="4">
        <v>900</v>
      </c>
      <c r="I845" s="5">
        <v>1</v>
      </c>
      <c r="K845" t="s">
        <v>28</v>
      </c>
    </row>
    <row r="846" spans="1:11" x14ac:dyDescent="0.3">
      <c r="A846">
        <v>1844</v>
      </c>
      <c r="B846" s="1">
        <v>46097</v>
      </c>
      <c r="C846" s="3">
        <v>0.5444444444444444</v>
      </c>
      <c r="D846" s="2">
        <f>tb_dados[[#This Row],[Data]]+tb_dados[[#This Row],[Hora]]</f>
        <v>46097.544444444444</v>
      </c>
      <c r="E846" t="s">
        <v>11</v>
      </c>
      <c r="F846" t="s">
        <v>13</v>
      </c>
      <c r="G846" t="s">
        <v>18</v>
      </c>
      <c r="H846" s="4">
        <v>120</v>
      </c>
      <c r="I846" s="5">
        <v>1</v>
      </c>
      <c r="K846" t="s">
        <v>28</v>
      </c>
    </row>
    <row r="847" spans="1:11" x14ac:dyDescent="0.3">
      <c r="A847">
        <v>1845</v>
      </c>
      <c r="B847" s="1">
        <v>46086</v>
      </c>
      <c r="C847" s="3">
        <v>0.92569444444444438</v>
      </c>
      <c r="D847" s="2">
        <f>tb_dados[[#This Row],[Data]]+tb_dados[[#This Row],[Hora]]</f>
        <v>46086.925694444442</v>
      </c>
      <c r="E847" t="s">
        <v>10</v>
      </c>
      <c r="F847" t="s">
        <v>14</v>
      </c>
      <c r="G847" t="s">
        <v>22</v>
      </c>
      <c r="H847" s="4">
        <v>2100</v>
      </c>
      <c r="I847" s="5">
        <v>1</v>
      </c>
      <c r="K847" t="s">
        <v>26</v>
      </c>
    </row>
    <row r="848" spans="1:11" x14ac:dyDescent="0.3">
      <c r="A848">
        <v>1846</v>
      </c>
      <c r="B848" s="1">
        <v>46083</v>
      </c>
      <c r="C848" s="3">
        <v>0.84513888888888899</v>
      </c>
      <c r="D848" s="2">
        <f>tb_dados[[#This Row],[Data]]+tb_dados[[#This Row],[Hora]]</f>
        <v>46083.845138888886</v>
      </c>
      <c r="E848" t="s">
        <v>11</v>
      </c>
      <c r="F848" t="s">
        <v>14</v>
      </c>
      <c r="G848" t="s">
        <v>21</v>
      </c>
      <c r="H848" s="4">
        <v>350</v>
      </c>
      <c r="I848" s="5">
        <v>1</v>
      </c>
      <c r="K848" t="s">
        <v>28</v>
      </c>
    </row>
    <row r="849" spans="1:11" x14ac:dyDescent="0.3">
      <c r="A849">
        <v>1847</v>
      </c>
      <c r="B849" s="1">
        <v>46079</v>
      </c>
      <c r="C849" s="3">
        <v>0.75555555555555554</v>
      </c>
      <c r="D849" s="2">
        <f>tb_dados[[#This Row],[Data]]+tb_dados[[#This Row],[Hora]]</f>
        <v>46079.755555555559</v>
      </c>
      <c r="E849" t="s">
        <v>12</v>
      </c>
      <c r="F849" t="s">
        <v>14</v>
      </c>
      <c r="G849" t="s">
        <v>20</v>
      </c>
      <c r="H849" s="4">
        <v>420</v>
      </c>
      <c r="I849" s="5">
        <v>1</v>
      </c>
      <c r="K849" t="s">
        <v>26</v>
      </c>
    </row>
    <row r="850" spans="1:11" x14ac:dyDescent="0.3">
      <c r="A850">
        <v>1848</v>
      </c>
      <c r="B850" s="1">
        <v>46084</v>
      </c>
      <c r="C850" s="3">
        <v>0.77569444444444446</v>
      </c>
      <c r="D850" s="2">
        <f>tb_dados[[#This Row],[Data]]+tb_dados[[#This Row],[Hora]]</f>
        <v>46084.775694444441</v>
      </c>
      <c r="E850" t="s">
        <v>10</v>
      </c>
      <c r="F850" t="s">
        <v>15</v>
      </c>
      <c r="G850" t="s">
        <v>23</v>
      </c>
      <c r="H850" s="4">
        <v>4500</v>
      </c>
      <c r="I850" s="5">
        <v>2</v>
      </c>
      <c r="K850" t="s">
        <v>27</v>
      </c>
    </row>
    <row r="851" spans="1:11" x14ac:dyDescent="0.3">
      <c r="A851">
        <v>1849</v>
      </c>
      <c r="B851" s="1">
        <v>46087</v>
      </c>
      <c r="C851" s="3">
        <v>0.47083333333333338</v>
      </c>
      <c r="D851" s="2">
        <f>tb_dados[[#This Row],[Data]]+tb_dados[[#This Row],[Hora]]</f>
        <v>46087.470833333333</v>
      </c>
      <c r="E851" t="s">
        <v>12</v>
      </c>
      <c r="F851" t="s">
        <v>13</v>
      </c>
      <c r="G851" t="s">
        <v>20</v>
      </c>
      <c r="H851" s="4">
        <v>420</v>
      </c>
      <c r="I851" s="5">
        <v>3</v>
      </c>
      <c r="K851" t="s">
        <v>26</v>
      </c>
    </row>
    <row r="852" spans="1:11" x14ac:dyDescent="0.3">
      <c r="A852">
        <v>1850</v>
      </c>
      <c r="B852" s="1">
        <v>46081</v>
      </c>
      <c r="C852" s="3">
        <v>0.67361111111111116</v>
      </c>
      <c r="D852" s="2">
        <f>tb_dados[[#This Row],[Data]]+tb_dados[[#This Row],[Hora]]</f>
        <v>46081.673611111109</v>
      </c>
      <c r="E852" t="s">
        <v>12</v>
      </c>
      <c r="F852" t="s">
        <v>13</v>
      </c>
      <c r="G852" t="s">
        <v>19</v>
      </c>
      <c r="H852" s="4">
        <v>850</v>
      </c>
      <c r="I852" s="5">
        <v>1</v>
      </c>
      <c r="K852" t="s">
        <v>28</v>
      </c>
    </row>
    <row r="853" spans="1:11" x14ac:dyDescent="0.3">
      <c r="A853">
        <v>1851</v>
      </c>
      <c r="B853" s="1">
        <v>46088</v>
      </c>
      <c r="C853" s="3">
        <v>0.88680555555555562</v>
      </c>
      <c r="D853" s="2">
        <f>tb_dados[[#This Row],[Data]]+tb_dados[[#This Row],[Hora]]</f>
        <v>46088.886805555558</v>
      </c>
      <c r="E853" t="s">
        <v>10</v>
      </c>
      <c r="F853" t="s">
        <v>13</v>
      </c>
      <c r="G853" t="s">
        <v>22</v>
      </c>
      <c r="H853" s="4">
        <v>2100</v>
      </c>
      <c r="I853" s="5">
        <v>3</v>
      </c>
      <c r="K853" t="s">
        <v>27</v>
      </c>
    </row>
    <row r="854" spans="1:11" x14ac:dyDescent="0.3">
      <c r="A854">
        <v>1852</v>
      </c>
      <c r="B854" s="1">
        <v>46079</v>
      </c>
      <c r="C854" s="3">
        <v>0.75347222222222221</v>
      </c>
      <c r="D854" s="2">
        <f>tb_dados[[#This Row],[Data]]+tb_dados[[#This Row],[Hora]]</f>
        <v>46079.753472222219</v>
      </c>
      <c r="E854" t="s">
        <v>12</v>
      </c>
      <c r="F854" t="s">
        <v>15</v>
      </c>
      <c r="G854" t="s">
        <v>19</v>
      </c>
      <c r="H854" s="4">
        <v>850</v>
      </c>
      <c r="I854" s="5">
        <v>3</v>
      </c>
      <c r="K854" t="s">
        <v>25</v>
      </c>
    </row>
    <row r="855" spans="1:11" x14ac:dyDescent="0.3">
      <c r="A855">
        <v>1853</v>
      </c>
      <c r="B855" s="1">
        <v>46104</v>
      </c>
      <c r="C855" s="3">
        <v>0.69027777777777777</v>
      </c>
      <c r="D855" s="2">
        <f>tb_dados[[#This Row],[Data]]+tb_dados[[#This Row],[Hora]]</f>
        <v>46104.69027777778</v>
      </c>
      <c r="E855" t="s">
        <v>10</v>
      </c>
      <c r="F855" t="s">
        <v>15</v>
      </c>
      <c r="G855" t="s">
        <v>23</v>
      </c>
      <c r="H855" s="4">
        <v>4500</v>
      </c>
      <c r="I855" s="5">
        <v>2</v>
      </c>
      <c r="K855" t="s">
        <v>25</v>
      </c>
    </row>
    <row r="856" spans="1:11" x14ac:dyDescent="0.3">
      <c r="A856">
        <v>1854</v>
      </c>
      <c r="B856" s="1">
        <v>46106</v>
      </c>
      <c r="C856" s="3">
        <v>0.81458333333333333</v>
      </c>
      <c r="D856" s="2">
        <f>tb_dados[[#This Row],[Data]]+tb_dados[[#This Row],[Hora]]</f>
        <v>46106.814583333333</v>
      </c>
      <c r="E856" t="s">
        <v>12</v>
      </c>
      <c r="F856" t="s">
        <v>16</v>
      </c>
      <c r="G856" t="s">
        <v>19</v>
      </c>
      <c r="H856" s="4">
        <v>850</v>
      </c>
      <c r="I856" s="5">
        <v>2</v>
      </c>
      <c r="K856" t="s">
        <v>25</v>
      </c>
    </row>
    <row r="857" spans="1:11" x14ac:dyDescent="0.3">
      <c r="A857">
        <v>1855</v>
      </c>
      <c r="B857" s="1">
        <v>46089</v>
      </c>
      <c r="C857" s="3">
        <v>0.36180555555555555</v>
      </c>
      <c r="D857" s="2">
        <f>tb_dados[[#This Row],[Data]]+tb_dados[[#This Row],[Hora]]</f>
        <v>46089.361805555556</v>
      </c>
      <c r="E857" t="s">
        <v>10</v>
      </c>
      <c r="F857" t="s">
        <v>15</v>
      </c>
      <c r="G857" t="s">
        <v>22</v>
      </c>
      <c r="H857" s="4">
        <v>2100</v>
      </c>
      <c r="I857" s="5">
        <v>2</v>
      </c>
      <c r="K857" t="s">
        <v>25</v>
      </c>
    </row>
    <row r="858" spans="1:11" x14ac:dyDescent="0.3">
      <c r="A858">
        <v>1856</v>
      </c>
      <c r="B858" s="1">
        <v>46080</v>
      </c>
      <c r="C858" s="3">
        <v>0.54166666666666663</v>
      </c>
      <c r="D858" s="2">
        <f>tb_dados[[#This Row],[Data]]+tb_dados[[#This Row],[Hora]]</f>
        <v>46080.541666666664</v>
      </c>
      <c r="E858" t="s">
        <v>11</v>
      </c>
      <c r="F858" t="s">
        <v>16</v>
      </c>
      <c r="G858" t="s">
        <v>24</v>
      </c>
      <c r="H858" s="4">
        <v>280</v>
      </c>
      <c r="I858" s="5">
        <v>2</v>
      </c>
      <c r="K858" t="s">
        <v>28</v>
      </c>
    </row>
    <row r="859" spans="1:11" x14ac:dyDescent="0.3">
      <c r="A859">
        <v>1857</v>
      </c>
      <c r="B859" s="1">
        <v>46095</v>
      </c>
      <c r="C859" s="3">
        <v>0.9</v>
      </c>
      <c r="D859" s="2">
        <f>tb_dados[[#This Row],[Data]]+tb_dados[[#This Row],[Hora]]</f>
        <v>46095.9</v>
      </c>
      <c r="E859" t="s">
        <v>11</v>
      </c>
      <c r="F859" t="s">
        <v>16</v>
      </c>
      <c r="G859" t="s">
        <v>24</v>
      </c>
      <c r="H859" s="4">
        <v>280</v>
      </c>
      <c r="I859" s="5">
        <v>3</v>
      </c>
      <c r="K859" t="s">
        <v>27</v>
      </c>
    </row>
    <row r="860" spans="1:11" x14ac:dyDescent="0.3">
      <c r="A860">
        <v>1858</v>
      </c>
      <c r="B860" s="1">
        <v>46097</v>
      </c>
      <c r="C860" s="3">
        <v>0.71666666666666667</v>
      </c>
      <c r="D860" s="2">
        <f>tb_dados[[#This Row],[Data]]+tb_dados[[#This Row],[Hora]]</f>
        <v>46097.716666666667</v>
      </c>
      <c r="E860" t="s">
        <v>11</v>
      </c>
      <c r="F860" t="s">
        <v>15</v>
      </c>
      <c r="G860" t="s">
        <v>21</v>
      </c>
      <c r="H860" s="4">
        <v>350</v>
      </c>
      <c r="I860" s="5">
        <v>2</v>
      </c>
      <c r="K860" t="s">
        <v>26</v>
      </c>
    </row>
    <row r="861" spans="1:11" x14ac:dyDescent="0.3">
      <c r="A861">
        <v>1859</v>
      </c>
      <c r="B861" s="1">
        <v>46093</v>
      </c>
      <c r="C861" s="3">
        <v>0.39930555555555558</v>
      </c>
      <c r="D861" s="2">
        <f>tb_dados[[#This Row],[Data]]+tb_dados[[#This Row],[Hora]]</f>
        <v>46093.399305555555</v>
      </c>
      <c r="E861" t="s">
        <v>12</v>
      </c>
      <c r="F861" t="s">
        <v>15</v>
      </c>
      <c r="G861" t="s">
        <v>20</v>
      </c>
      <c r="H861" s="4">
        <v>420</v>
      </c>
      <c r="I861" s="5">
        <v>1</v>
      </c>
      <c r="K861" t="s">
        <v>27</v>
      </c>
    </row>
    <row r="862" spans="1:11" x14ac:dyDescent="0.3">
      <c r="A862">
        <v>1860</v>
      </c>
      <c r="B862" s="1">
        <v>46102</v>
      </c>
      <c r="C862" s="3">
        <v>0.39444444444444443</v>
      </c>
      <c r="D862" s="2">
        <f>tb_dados[[#This Row],[Data]]+tb_dados[[#This Row],[Hora]]</f>
        <v>46102.394444444442</v>
      </c>
      <c r="E862" t="s">
        <v>10</v>
      </c>
      <c r="F862" t="s">
        <v>14</v>
      </c>
      <c r="G862" t="s">
        <v>22</v>
      </c>
      <c r="H862" s="4">
        <v>2100</v>
      </c>
      <c r="I862" s="5">
        <v>1</v>
      </c>
      <c r="K862" t="s">
        <v>28</v>
      </c>
    </row>
    <row r="863" spans="1:11" x14ac:dyDescent="0.3">
      <c r="A863">
        <v>1861</v>
      </c>
      <c r="B863" s="1">
        <v>46097</v>
      </c>
      <c r="C863" s="3">
        <v>0.53194444444444444</v>
      </c>
      <c r="D863" s="2">
        <f>tb_dados[[#This Row],[Data]]+tb_dados[[#This Row],[Hora]]</f>
        <v>46097.531944444447</v>
      </c>
      <c r="E863" t="s">
        <v>12</v>
      </c>
      <c r="F863" t="s">
        <v>16</v>
      </c>
      <c r="G863" t="s">
        <v>19</v>
      </c>
      <c r="H863" s="4">
        <v>850</v>
      </c>
      <c r="I863" s="5">
        <v>3</v>
      </c>
      <c r="K863" t="s">
        <v>27</v>
      </c>
    </row>
    <row r="864" spans="1:11" x14ac:dyDescent="0.3">
      <c r="A864">
        <v>1862</v>
      </c>
      <c r="B864" s="1">
        <v>46090</v>
      </c>
      <c r="C864" s="3">
        <v>0.3659722222222222</v>
      </c>
      <c r="D864" s="2">
        <f>tb_dados[[#This Row],[Data]]+tb_dados[[#This Row],[Hora]]</f>
        <v>46090.365972222222</v>
      </c>
      <c r="E864" t="s">
        <v>10</v>
      </c>
      <c r="F864" t="s">
        <v>16</v>
      </c>
      <c r="G864" t="s">
        <v>23</v>
      </c>
      <c r="H864" s="4">
        <v>4500</v>
      </c>
      <c r="I864" s="5">
        <v>1</v>
      </c>
      <c r="K864" t="s">
        <v>26</v>
      </c>
    </row>
    <row r="865" spans="1:11" x14ac:dyDescent="0.3">
      <c r="A865">
        <v>1863</v>
      </c>
      <c r="B865" s="1">
        <v>46078</v>
      </c>
      <c r="C865" s="3">
        <v>0.83333333333333337</v>
      </c>
      <c r="D865" s="2">
        <f>tb_dados[[#This Row],[Data]]+tb_dados[[#This Row],[Hora]]</f>
        <v>46078.833333333336</v>
      </c>
      <c r="E865" t="s">
        <v>12</v>
      </c>
      <c r="F865" t="s">
        <v>16</v>
      </c>
      <c r="G865" t="s">
        <v>20</v>
      </c>
      <c r="H865" s="4">
        <v>420</v>
      </c>
      <c r="I865" s="5">
        <v>3</v>
      </c>
      <c r="K865" t="s">
        <v>28</v>
      </c>
    </row>
    <row r="866" spans="1:11" x14ac:dyDescent="0.3">
      <c r="A866">
        <v>1864</v>
      </c>
      <c r="B866" s="1">
        <v>46090</v>
      </c>
      <c r="C866" s="3">
        <v>0.79791666666666661</v>
      </c>
      <c r="D866" s="2">
        <f>tb_dados[[#This Row],[Data]]+tb_dados[[#This Row],[Hora]]</f>
        <v>46090.79791666667</v>
      </c>
      <c r="E866" t="s">
        <v>11</v>
      </c>
      <c r="F866" t="s">
        <v>16</v>
      </c>
      <c r="G866" t="s">
        <v>21</v>
      </c>
      <c r="H866" s="4">
        <v>350</v>
      </c>
      <c r="I866" s="5">
        <v>2</v>
      </c>
      <c r="K866" t="s">
        <v>25</v>
      </c>
    </row>
    <row r="867" spans="1:11" x14ac:dyDescent="0.3">
      <c r="A867">
        <v>1865</v>
      </c>
      <c r="B867" s="1">
        <v>46090</v>
      </c>
      <c r="C867" s="3">
        <v>0.3520833333333333</v>
      </c>
      <c r="D867" s="2">
        <f>tb_dados[[#This Row],[Data]]+tb_dados[[#This Row],[Hora]]</f>
        <v>46090.352083333331</v>
      </c>
      <c r="E867" t="s">
        <v>11</v>
      </c>
      <c r="F867" t="s">
        <v>13</v>
      </c>
      <c r="G867" t="s">
        <v>21</v>
      </c>
      <c r="H867" s="4">
        <v>350</v>
      </c>
      <c r="I867" s="5">
        <v>3</v>
      </c>
      <c r="K867" t="s">
        <v>28</v>
      </c>
    </row>
    <row r="868" spans="1:11" x14ac:dyDescent="0.3">
      <c r="A868">
        <v>1866</v>
      </c>
      <c r="B868" s="1">
        <v>46082</v>
      </c>
      <c r="C868" s="3">
        <v>0.53680555555555554</v>
      </c>
      <c r="D868" s="2">
        <f>tb_dados[[#This Row],[Data]]+tb_dados[[#This Row],[Hora]]</f>
        <v>46082.536805555559</v>
      </c>
      <c r="E868" t="s">
        <v>10</v>
      </c>
      <c r="F868" t="s">
        <v>16</v>
      </c>
      <c r="G868" t="s">
        <v>22</v>
      </c>
      <c r="H868" s="4">
        <v>2100</v>
      </c>
      <c r="I868" s="5">
        <v>1</v>
      </c>
      <c r="K868" t="s">
        <v>26</v>
      </c>
    </row>
    <row r="869" spans="1:11" x14ac:dyDescent="0.3">
      <c r="A869">
        <v>1867</v>
      </c>
      <c r="B869" s="1">
        <v>46106</v>
      </c>
      <c r="C869" s="3">
        <v>0.60833333333333328</v>
      </c>
      <c r="D869" s="2">
        <f>tb_dados[[#This Row],[Data]]+tb_dados[[#This Row],[Hora]]</f>
        <v>46106.60833333333</v>
      </c>
      <c r="E869" t="s">
        <v>10</v>
      </c>
      <c r="F869" t="s">
        <v>16</v>
      </c>
      <c r="G869" t="s">
        <v>17</v>
      </c>
      <c r="H869" s="4">
        <v>900</v>
      </c>
      <c r="I869" s="5">
        <v>1</v>
      </c>
      <c r="K869" t="s">
        <v>25</v>
      </c>
    </row>
    <row r="870" spans="1:11" x14ac:dyDescent="0.3">
      <c r="A870">
        <v>1868</v>
      </c>
      <c r="B870" s="1">
        <v>46099</v>
      </c>
      <c r="C870" s="3">
        <v>0.7416666666666667</v>
      </c>
      <c r="D870" s="2">
        <f>tb_dados[[#This Row],[Data]]+tb_dados[[#This Row],[Hora]]</f>
        <v>46099.741666666669</v>
      </c>
      <c r="E870" t="s">
        <v>10</v>
      </c>
      <c r="F870" t="s">
        <v>15</v>
      </c>
      <c r="G870" t="s">
        <v>22</v>
      </c>
      <c r="H870" s="4">
        <v>2100</v>
      </c>
      <c r="I870" s="5">
        <v>2</v>
      </c>
      <c r="K870" t="s">
        <v>26</v>
      </c>
    </row>
    <row r="871" spans="1:11" x14ac:dyDescent="0.3">
      <c r="A871">
        <v>1869</v>
      </c>
      <c r="B871" s="1">
        <v>46098</v>
      </c>
      <c r="C871" s="3">
        <v>0.86249999999999993</v>
      </c>
      <c r="D871" s="2">
        <f>tb_dados[[#This Row],[Data]]+tb_dados[[#This Row],[Hora]]</f>
        <v>46098.862500000003</v>
      </c>
      <c r="E871" t="s">
        <v>12</v>
      </c>
      <c r="F871" t="s">
        <v>13</v>
      </c>
      <c r="G871" t="s">
        <v>19</v>
      </c>
      <c r="H871" s="4">
        <v>850</v>
      </c>
      <c r="I871" s="5">
        <v>2</v>
      </c>
      <c r="K871" t="s">
        <v>25</v>
      </c>
    </row>
    <row r="872" spans="1:11" x14ac:dyDescent="0.3">
      <c r="A872">
        <v>1870</v>
      </c>
      <c r="B872" s="1">
        <v>46094</v>
      </c>
      <c r="C872" s="3">
        <v>0.83263888888888893</v>
      </c>
      <c r="D872" s="2">
        <f>tb_dados[[#This Row],[Data]]+tb_dados[[#This Row],[Hora]]</f>
        <v>46094.832638888889</v>
      </c>
      <c r="E872" t="s">
        <v>10</v>
      </c>
      <c r="F872" t="s">
        <v>13</v>
      </c>
      <c r="G872" t="s">
        <v>23</v>
      </c>
      <c r="H872" s="4">
        <v>4500</v>
      </c>
      <c r="I872" s="5">
        <v>1</v>
      </c>
      <c r="K872" t="s">
        <v>28</v>
      </c>
    </row>
    <row r="873" spans="1:11" x14ac:dyDescent="0.3">
      <c r="A873">
        <v>1871</v>
      </c>
      <c r="B873" s="1">
        <v>46102</v>
      </c>
      <c r="C873" s="3">
        <v>0.91041666666666676</v>
      </c>
      <c r="D873" s="2">
        <f>tb_dados[[#This Row],[Data]]+tb_dados[[#This Row],[Hora]]</f>
        <v>46102.910416666666</v>
      </c>
      <c r="E873" t="s">
        <v>12</v>
      </c>
      <c r="F873" t="s">
        <v>16</v>
      </c>
      <c r="G873" t="s">
        <v>20</v>
      </c>
      <c r="H873" s="4">
        <v>420</v>
      </c>
      <c r="I873" s="5">
        <v>3</v>
      </c>
      <c r="K873" t="s">
        <v>28</v>
      </c>
    </row>
    <row r="874" spans="1:11" x14ac:dyDescent="0.3">
      <c r="A874">
        <v>1872</v>
      </c>
      <c r="B874" s="1">
        <v>46105</v>
      </c>
      <c r="C874" s="3">
        <v>0.92152777777777783</v>
      </c>
      <c r="D874" s="2">
        <f>tb_dados[[#This Row],[Data]]+tb_dados[[#This Row],[Hora]]</f>
        <v>46105.921527777777</v>
      </c>
      <c r="E874" t="s">
        <v>12</v>
      </c>
      <c r="F874" t="s">
        <v>13</v>
      </c>
      <c r="G874" t="s">
        <v>20</v>
      </c>
      <c r="H874" s="4">
        <v>420</v>
      </c>
      <c r="I874" s="5">
        <v>2</v>
      </c>
      <c r="K874" t="s">
        <v>25</v>
      </c>
    </row>
    <row r="875" spans="1:11" x14ac:dyDescent="0.3">
      <c r="A875">
        <v>1873</v>
      </c>
      <c r="B875" s="1">
        <v>46093</v>
      </c>
      <c r="C875" s="3">
        <v>0.40833333333333338</v>
      </c>
      <c r="D875" s="2">
        <f>tb_dados[[#This Row],[Data]]+tb_dados[[#This Row],[Hora]]</f>
        <v>46093.408333333333</v>
      </c>
      <c r="E875" t="s">
        <v>11</v>
      </c>
      <c r="F875" t="s">
        <v>14</v>
      </c>
      <c r="G875" t="s">
        <v>21</v>
      </c>
      <c r="H875" s="4">
        <v>350</v>
      </c>
      <c r="I875" s="5">
        <v>3</v>
      </c>
      <c r="K875" t="s">
        <v>25</v>
      </c>
    </row>
    <row r="876" spans="1:11" x14ac:dyDescent="0.3">
      <c r="A876">
        <v>1874</v>
      </c>
      <c r="B876" s="1">
        <v>46078</v>
      </c>
      <c r="C876" s="3">
        <v>0.7909722222222223</v>
      </c>
      <c r="D876" s="2">
        <f>tb_dados[[#This Row],[Data]]+tb_dados[[#This Row],[Hora]]</f>
        <v>46078.790972222225</v>
      </c>
      <c r="E876" t="s">
        <v>12</v>
      </c>
      <c r="F876" t="s">
        <v>13</v>
      </c>
      <c r="G876" t="s">
        <v>19</v>
      </c>
      <c r="H876" s="4">
        <v>850</v>
      </c>
      <c r="I876" s="5">
        <v>3</v>
      </c>
      <c r="K876" t="s">
        <v>28</v>
      </c>
    </row>
    <row r="877" spans="1:11" x14ac:dyDescent="0.3">
      <c r="A877">
        <v>1875</v>
      </c>
      <c r="B877" s="1">
        <v>46094</v>
      </c>
      <c r="C877" s="3">
        <v>0.61041666666666672</v>
      </c>
      <c r="D877" s="2">
        <f>tb_dados[[#This Row],[Data]]+tb_dados[[#This Row],[Hora]]</f>
        <v>46094.61041666667</v>
      </c>
      <c r="E877" t="s">
        <v>10</v>
      </c>
      <c r="F877" t="s">
        <v>14</v>
      </c>
      <c r="G877" t="s">
        <v>17</v>
      </c>
      <c r="H877" s="4">
        <v>900</v>
      </c>
      <c r="I877" s="5">
        <v>3</v>
      </c>
      <c r="K877" t="s">
        <v>27</v>
      </c>
    </row>
    <row r="878" spans="1:11" x14ac:dyDescent="0.3">
      <c r="A878">
        <v>1876</v>
      </c>
      <c r="B878" s="1">
        <v>46098</v>
      </c>
      <c r="C878" s="3">
        <v>0.77777777777777779</v>
      </c>
      <c r="D878" s="2">
        <f>tb_dados[[#This Row],[Data]]+tb_dados[[#This Row],[Hora]]</f>
        <v>46098.777777777781</v>
      </c>
      <c r="E878" t="s">
        <v>10</v>
      </c>
      <c r="F878" t="s">
        <v>16</v>
      </c>
      <c r="G878" t="s">
        <v>23</v>
      </c>
      <c r="H878" s="4">
        <v>4500</v>
      </c>
      <c r="I878" s="5">
        <v>3</v>
      </c>
      <c r="K878" t="s">
        <v>25</v>
      </c>
    </row>
    <row r="879" spans="1:11" x14ac:dyDescent="0.3">
      <c r="A879">
        <v>1877</v>
      </c>
      <c r="B879" s="1">
        <v>46105</v>
      </c>
      <c r="C879" s="3">
        <v>0.61875000000000002</v>
      </c>
      <c r="D879" s="2">
        <f>tb_dados[[#This Row],[Data]]+tb_dados[[#This Row],[Hora]]</f>
        <v>46105.618750000001</v>
      </c>
      <c r="E879" t="s">
        <v>10</v>
      </c>
      <c r="F879" t="s">
        <v>14</v>
      </c>
      <c r="G879" t="s">
        <v>22</v>
      </c>
      <c r="H879" s="4">
        <v>2100</v>
      </c>
      <c r="I879" s="5">
        <v>1</v>
      </c>
      <c r="K879" t="s">
        <v>25</v>
      </c>
    </row>
    <row r="880" spans="1:11" x14ac:dyDescent="0.3">
      <c r="A880">
        <v>1878</v>
      </c>
      <c r="B880" s="1">
        <v>46086</v>
      </c>
      <c r="C880" s="3">
        <v>0.4055555555555555</v>
      </c>
      <c r="D880" s="2">
        <f>tb_dados[[#This Row],[Data]]+tb_dados[[#This Row],[Hora]]</f>
        <v>46086.405555555553</v>
      </c>
      <c r="E880" t="s">
        <v>12</v>
      </c>
      <c r="F880" t="s">
        <v>15</v>
      </c>
      <c r="G880" t="s">
        <v>20</v>
      </c>
      <c r="H880" s="4">
        <v>420</v>
      </c>
      <c r="I880" s="5">
        <v>1</v>
      </c>
      <c r="K880" t="s">
        <v>26</v>
      </c>
    </row>
    <row r="881" spans="1:11" x14ac:dyDescent="0.3">
      <c r="A881">
        <v>1879</v>
      </c>
      <c r="B881" s="1">
        <v>46108</v>
      </c>
      <c r="C881" s="3">
        <v>0.63611111111111118</v>
      </c>
      <c r="D881" s="2">
        <f>tb_dados[[#This Row],[Data]]+tb_dados[[#This Row],[Hora]]</f>
        <v>46108.636111111111</v>
      </c>
      <c r="E881" t="s">
        <v>11</v>
      </c>
      <c r="F881" t="s">
        <v>14</v>
      </c>
      <c r="G881" t="s">
        <v>24</v>
      </c>
      <c r="H881" s="4">
        <v>280</v>
      </c>
      <c r="I881" s="5">
        <v>3</v>
      </c>
      <c r="K881" t="s">
        <v>27</v>
      </c>
    </row>
    <row r="882" spans="1:11" x14ac:dyDescent="0.3">
      <c r="A882">
        <v>1880</v>
      </c>
      <c r="B882" s="1">
        <v>46099</v>
      </c>
      <c r="C882" s="3">
        <v>0.35694444444444445</v>
      </c>
      <c r="D882" s="2">
        <f>tb_dados[[#This Row],[Data]]+tb_dados[[#This Row],[Hora]]</f>
        <v>46099.356944444444</v>
      </c>
      <c r="E882" t="s">
        <v>12</v>
      </c>
      <c r="F882" t="s">
        <v>16</v>
      </c>
      <c r="G882" t="s">
        <v>20</v>
      </c>
      <c r="H882" s="4">
        <v>420</v>
      </c>
      <c r="I882" s="5">
        <v>3</v>
      </c>
      <c r="K882" t="s">
        <v>26</v>
      </c>
    </row>
    <row r="883" spans="1:11" x14ac:dyDescent="0.3">
      <c r="A883">
        <v>1881</v>
      </c>
      <c r="B883" s="1">
        <v>46094</v>
      </c>
      <c r="C883" s="3">
        <v>0.56736111111111109</v>
      </c>
      <c r="D883" s="2">
        <f>tb_dados[[#This Row],[Data]]+tb_dados[[#This Row],[Hora]]</f>
        <v>46094.567361111112</v>
      </c>
      <c r="E883" t="s">
        <v>12</v>
      </c>
      <c r="F883" t="s">
        <v>13</v>
      </c>
      <c r="G883" t="s">
        <v>20</v>
      </c>
      <c r="H883" s="4">
        <v>420</v>
      </c>
      <c r="I883" s="5">
        <v>3</v>
      </c>
      <c r="K883" t="s">
        <v>25</v>
      </c>
    </row>
    <row r="884" spans="1:11" x14ac:dyDescent="0.3">
      <c r="A884">
        <v>1882</v>
      </c>
      <c r="B884" s="1">
        <v>46079</v>
      </c>
      <c r="C884" s="3">
        <v>0.7006944444444444</v>
      </c>
      <c r="D884" s="2">
        <f>tb_dados[[#This Row],[Data]]+tb_dados[[#This Row],[Hora]]</f>
        <v>46079.700694444444</v>
      </c>
      <c r="E884" t="s">
        <v>11</v>
      </c>
      <c r="F884" t="s">
        <v>14</v>
      </c>
      <c r="G884" t="s">
        <v>18</v>
      </c>
      <c r="H884" s="4">
        <v>120</v>
      </c>
      <c r="I884" s="5">
        <v>2</v>
      </c>
      <c r="K884" t="s">
        <v>25</v>
      </c>
    </row>
    <row r="885" spans="1:11" x14ac:dyDescent="0.3">
      <c r="A885">
        <v>1883</v>
      </c>
      <c r="B885" s="1">
        <v>46099</v>
      </c>
      <c r="C885" s="3">
        <v>0.84236111111111101</v>
      </c>
      <c r="D885" s="2">
        <f>tb_dados[[#This Row],[Data]]+tb_dados[[#This Row],[Hora]]</f>
        <v>46099.842361111114</v>
      </c>
      <c r="E885" t="s">
        <v>10</v>
      </c>
      <c r="F885" t="s">
        <v>14</v>
      </c>
      <c r="G885" t="s">
        <v>23</v>
      </c>
      <c r="H885" s="4">
        <v>4500</v>
      </c>
      <c r="I885" s="5">
        <v>2</v>
      </c>
      <c r="K885" t="s">
        <v>27</v>
      </c>
    </row>
    <row r="886" spans="1:11" x14ac:dyDescent="0.3">
      <c r="A886">
        <v>1884</v>
      </c>
      <c r="B886" s="1">
        <v>46104</v>
      </c>
      <c r="C886" s="3">
        <v>0.74375000000000002</v>
      </c>
      <c r="D886" s="2">
        <f>tb_dados[[#This Row],[Data]]+tb_dados[[#This Row],[Hora]]</f>
        <v>46104.743750000001</v>
      </c>
      <c r="E886" t="s">
        <v>12</v>
      </c>
      <c r="F886" t="s">
        <v>14</v>
      </c>
      <c r="G886" t="s">
        <v>20</v>
      </c>
      <c r="H886" s="4">
        <v>420</v>
      </c>
      <c r="I886" s="5">
        <v>2</v>
      </c>
      <c r="K886" t="s">
        <v>26</v>
      </c>
    </row>
    <row r="887" spans="1:11" x14ac:dyDescent="0.3">
      <c r="A887">
        <v>1885</v>
      </c>
      <c r="B887" s="1">
        <v>46082</v>
      </c>
      <c r="C887" s="3">
        <v>0.89374999999999993</v>
      </c>
      <c r="D887" s="2">
        <f>tb_dados[[#This Row],[Data]]+tb_dados[[#This Row],[Hora]]</f>
        <v>46082.893750000003</v>
      </c>
      <c r="E887" t="s">
        <v>12</v>
      </c>
      <c r="F887" t="s">
        <v>14</v>
      </c>
      <c r="G887" t="s">
        <v>19</v>
      </c>
      <c r="H887" s="4">
        <v>850</v>
      </c>
      <c r="I887" s="5">
        <v>1</v>
      </c>
      <c r="K887" t="s">
        <v>26</v>
      </c>
    </row>
    <row r="888" spans="1:11" x14ac:dyDescent="0.3">
      <c r="A888">
        <v>1886</v>
      </c>
      <c r="B888" s="1">
        <v>46082</v>
      </c>
      <c r="C888" s="3">
        <v>0.65625</v>
      </c>
      <c r="D888" s="2">
        <f>tb_dados[[#This Row],[Data]]+tb_dados[[#This Row],[Hora]]</f>
        <v>46082.65625</v>
      </c>
      <c r="E888" t="s">
        <v>10</v>
      </c>
      <c r="F888" t="s">
        <v>13</v>
      </c>
      <c r="G888" t="s">
        <v>17</v>
      </c>
      <c r="H888" s="4">
        <v>900</v>
      </c>
      <c r="I888" s="5">
        <v>1</v>
      </c>
      <c r="K888" t="s">
        <v>26</v>
      </c>
    </row>
    <row r="889" spans="1:11" x14ac:dyDescent="0.3">
      <c r="A889">
        <v>1887</v>
      </c>
      <c r="B889" s="1">
        <v>46081</v>
      </c>
      <c r="C889" s="3">
        <v>0.33749999999999997</v>
      </c>
      <c r="D889" s="2">
        <f>tb_dados[[#This Row],[Data]]+tb_dados[[#This Row],[Hora]]</f>
        <v>46081.337500000001</v>
      </c>
      <c r="E889" t="s">
        <v>11</v>
      </c>
      <c r="F889" t="s">
        <v>14</v>
      </c>
      <c r="G889" t="s">
        <v>21</v>
      </c>
      <c r="H889" s="4">
        <v>350</v>
      </c>
      <c r="I889" s="5">
        <v>3</v>
      </c>
      <c r="K889" t="s">
        <v>26</v>
      </c>
    </row>
    <row r="890" spans="1:11" x14ac:dyDescent="0.3">
      <c r="A890">
        <v>1888</v>
      </c>
      <c r="B890" s="1">
        <v>46086</v>
      </c>
      <c r="C890" s="3">
        <v>0.55972222222222223</v>
      </c>
      <c r="D890" s="2">
        <f>tb_dados[[#This Row],[Data]]+tb_dados[[#This Row],[Hora]]</f>
        <v>46086.55972222222</v>
      </c>
      <c r="E890" t="s">
        <v>11</v>
      </c>
      <c r="F890" t="s">
        <v>15</v>
      </c>
      <c r="G890" t="s">
        <v>24</v>
      </c>
      <c r="H890" s="4">
        <v>280</v>
      </c>
      <c r="I890" s="5">
        <v>2</v>
      </c>
      <c r="K890" t="s">
        <v>26</v>
      </c>
    </row>
    <row r="891" spans="1:11" x14ac:dyDescent="0.3">
      <c r="A891">
        <v>1889</v>
      </c>
      <c r="B891" s="1">
        <v>46087</v>
      </c>
      <c r="C891" s="3">
        <v>0.60902777777777783</v>
      </c>
      <c r="D891" s="2">
        <f>tb_dados[[#This Row],[Data]]+tb_dados[[#This Row],[Hora]]</f>
        <v>46087.609027777777</v>
      </c>
      <c r="E891" t="s">
        <v>10</v>
      </c>
      <c r="F891" t="s">
        <v>15</v>
      </c>
      <c r="G891" t="s">
        <v>23</v>
      </c>
      <c r="H891" s="4">
        <v>4500</v>
      </c>
      <c r="I891" s="5">
        <v>2</v>
      </c>
      <c r="K891" t="s">
        <v>28</v>
      </c>
    </row>
    <row r="892" spans="1:11" x14ac:dyDescent="0.3">
      <c r="A892">
        <v>1890</v>
      </c>
      <c r="B892" s="1">
        <v>46105</v>
      </c>
      <c r="C892" s="3">
        <v>0.51597222222222217</v>
      </c>
      <c r="D892" s="2">
        <f>tb_dados[[#This Row],[Data]]+tb_dados[[#This Row],[Hora]]</f>
        <v>46105.515972222223</v>
      </c>
      <c r="E892" t="s">
        <v>11</v>
      </c>
      <c r="F892" t="s">
        <v>13</v>
      </c>
      <c r="G892" t="s">
        <v>18</v>
      </c>
      <c r="H892" s="4">
        <v>120</v>
      </c>
      <c r="I892" s="5">
        <v>3</v>
      </c>
      <c r="K892" t="s">
        <v>25</v>
      </c>
    </row>
    <row r="893" spans="1:11" x14ac:dyDescent="0.3">
      <c r="A893">
        <v>1891</v>
      </c>
      <c r="B893" s="1">
        <v>46083</v>
      </c>
      <c r="C893" s="3">
        <v>0.45902777777777781</v>
      </c>
      <c r="D893" s="2">
        <f>tb_dados[[#This Row],[Data]]+tb_dados[[#This Row],[Hora]]</f>
        <v>46083.459027777775</v>
      </c>
      <c r="E893" t="s">
        <v>11</v>
      </c>
      <c r="F893" t="s">
        <v>16</v>
      </c>
      <c r="G893" t="s">
        <v>24</v>
      </c>
      <c r="H893" s="4">
        <v>280</v>
      </c>
      <c r="I893" s="5">
        <v>3</v>
      </c>
      <c r="K893" t="s">
        <v>27</v>
      </c>
    </row>
    <row r="894" spans="1:11" x14ac:dyDescent="0.3">
      <c r="A894">
        <v>1892</v>
      </c>
      <c r="B894" s="1">
        <v>46100</v>
      </c>
      <c r="C894" s="3">
        <v>0.49513888888888885</v>
      </c>
      <c r="D894" s="2">
        <f>tb_dados[[#This Row],[Data]]+tb_dados[[#This Row],[Hora]]</f>
        <v>46100.495138888888</v>
      </c>
      <c r="E894" t="s">
        <v>12</v>
      </c>
      <c r="F894" t="s">
        <v>16</v>
      </c>
      <c r="G894" t="s">
        <v>19</v>
      </c>
      <c r="H894" s="4">
        <v>850</v>
      </c>
      <c r="I894" s="5">
        <v>1</v>
      </c>
      <c r="K894" t="s">
        <v>25</v>
      </c>
    </row>
    <row r="895" spans="1:11" x14ac:dyDescent="0.3">
      <c r="A895">
        <v>1893</v>
      </c>
      <c r="B895" s="1">
        <v>46098</v>
      </c>
      <c r="C895" s="3">
        <v>0.88194444444444453</v>
      </c>
      <c r="D895" s="2">
        <f>tb_dados[[#This Row],[Data]]+tb_dados[[#This Row],[Hora]]</f>
        <v>46098.881944444445</v>
      </c>
      <c r="E895" t="s">
        <v>12</v>
      </c>
      <c r="F895" t="s">
        <v>14</v>
      </c>
      <c r="G895" t="s">
        <v>19</v>
      </c>
      <c r="H895" s="4">
        <v>850</v>
      </c>
      <c r="I895" s="5">
        <v>1</v>
      </c>
      <c r="K895" t="s">
        <v>26</v>
      </c>
    </row>
    <row r="896" spans="1:11" x14ac:dyDescent="0.3">
      <c r="A896">
        <v>1894</v>
      </c>
      <c r="B896" s="1">
        <v>46098</v>
      </c>
      <c r="C896" s="3">
        <v>0.94930555555555562</v>
      </c>
      <c r="D896" s="2">
        <f>tb_dados[[#This Row],[Data]]+tb_dados[[#This Row],[Hora]]</f>
        <v>46098.949305555558</v>
      </c>
      <c r="E896" t="s">
        <v>10</v>
      </c>
      <c r="F896" t="s">
        <v>16</v>
      </c>
      <c r="G896" t="s">
        <v>17</v>
      </c>
      <c r="H896" s="4">
        <v>900</v>
      </c>
      <c r="I896" s="5">
        <v>3</v>
      </c>
      <c r="K896" t="s">
        <v>27</v>
      </c>
    </row>
    <row r="897" spans="1:11" x14ac:dyDescent="0.3">
      <c r="A897">
        <v>1895</v>
      </c>
      <c r="B897" s="1">
        <v>46090</v>
      </c>
      <c r="C897" s="3">
        <v>0.55486111111111114</v>
      </c>
      <c r="D897" s="2">
        <f>tb_dados[[#This Row],[Data]]+tb_dados[[#This Row],[Hora]]</f>
        <v>46090.554861111108</v>
      </c>
      <c r="E897" t="s">
        <v>11</v>
      </c>
      <c r="F897" t="s">
        <v>15</v>
      </c>
      <c r="G897" t="s">
        <v>24</v>
      </c>
      <c r="H897" s="4">
        <v>280</v>
      </c>
      <c r="I897" s="5">
        <v>3</v>
      </c>
      <c r="K897" t="s">
        <v>25</v>
      </c>
    </row>
    <row r="898" spans="1:11" x14ac:dyDescent="0.3">
      <c r="A898">
        <v>1896</v>
      </c>
      <c r="B898" s="1">
        <v>46091</v>
      </c>
      <c r="C898" s="3">
        <v>0.55902777777777779</v>
      </c>
      <c r="D898" s="2">
        <f>tb_dados[[#This Row],[Data]]+tb_dados[[#This Row],[Hora]]</f>
        <v>46091.559027777781</v>
      </c>
      <c r="E898" t="s">
        <v>12</v>
      </c>
      <c r="F898" t="s">
        <v>16</v>
      </c>
      <c r="G898" t="s">
        <v>19</v>
      </c>
      <c r="H898" s="4">
        <v>850</v>
      </c>
      <c r="I898" s="5">
        <v>1</v>
      </c>
      <c r="K898" t="s">
        <v>25</v>
      </c>
    </row>
    <row r="899" spans="1:11" x14ac:dyDescent="0.3">
      <c r="A899">
        <v>1897</v>
      </c>
      <c r="B899" s="1">
        <v>46078</v>
      </c>
      <c r="C899" s="3">
        <v>0.94166666666666676</v>
      </c>
      <c r="D899" s="2">
        <f>tb_dados[[#This Row],[Data]]+tb_dados[[#This Row],[Hora]]</f>
        <v>46078.941666666666</v>
      </c>
      <c r="E899" t="s">
        <v>12</v>
      </c>
      <c r="F899" t="s">
        <v>15</v>
      </c>
      <c r="G899" t="s">
        <v>20</v>
      </c>
      <c r="H899" s="4">
        <v>420</v>
      </c>
      <c r="I899" s="5">
        <v>3</v>
      </c>
      <c r="K899" t="s">
        <v>26</v>
      </c>
    </row>
    <row r="900" spans="1:11" x14ac:dyDescent="0.3">
      <c r="A900">
        <v>1898</v>
      </c>
      <c r="B900" s="1">
        <v>46103</v>
      </c>
      <c r="C900" s="3">
        <v>0.38055555555555554</v>
      </c>
      <c r="D900" s="2">
        <f>tb_dados[[#This Row],[Data]]+tb_dados[[#This Row],[Hora]]</f>
        <v>46103.380555555559</v>
      </c>
      <c r="E900" t="s">
        <v>11</v>
      </c>
      <c r="F900" t="s">
        <v>14</v>
      </c>
      <c r="G900" t="s">
        <v>24</v>
      </c>
      <c r="H900" s="4">
        <v>280</v>
      </c>
      <c r="I900" s="5">
        <v>1</v>
      </c>
      <c r="K900" t="s">
        <v>25</v>
      </c>
    </row>
    <row r="901" spans="1:11" x14ac:dyDescent="0.3">
      <c r="A901">
        <v>1899</v>
      </c>
      <c r="B901" s="1">
        <v>46081</v>
      </c>
      <c r="C901" s="3">
        <v>0.91527777777777775</v>
      </c>
      <c r="D901" s="2">
        <f>tb_dados[[#This Row],[Data]]+tb_dados[[#This Row],[Hora]]</f>
        <v>46081.915277777778</v>
      </c>
      <c r="E901" t="s">
        <v>11</v>
      </c>
      <c r="F901" t="s">
        <v>13</v>
      </c>
      <c r="G901" t="s">
        <v>21</v>
      </c>
      <c r="H901" s="4">
        <v>350</v>
      </c>
      <c r="I901" s="5">
        <v>1</v>
      </c>
      <c r="K901" t="s">
        <v>27</v>
      </c>
    </row>
    <row r="902" spans="1:11" x14ac:dyDescent="0.3">
      <c r="A902">
        <v>1900</v>
      </c>
      <c r="B902" s="1">
        <v>46096</v>
      </c>
      <c r="C902" s="3">
        <v>0.8125</v>
      </c>
      <c r="D902" s="2">
        <f>tb_dados[[#This Row],[Data]]+tb_dados[[#This Row],[Hora]]</f>
        <v>46096.8125</v>
      </c>
      <c r="E902" t="s">
        <v>11</v>
      </c>
      <c r="F902" t="s">
        <v>14</v>
      </c>
      <c r="G902" t="s">
        <v>18</v>
      </c>
      <c r="H902" s="4">
        <v>120</v>
      </c>
      <c r="I902" s="5">
        <v>3</v>
      </c>
      <c r="K902" t="s">
        <v>26</v>
      </c>
    </row>
    <row r="903" spans="1:11" x14ac:dyDescent="0.3">
      <c r="A903">
        <v>1901</v>
      </c>
      <c r="B903" s="1">
        <v>46093</v>
      </c>
      <c r="C903" s="3">
        <v>0.64861111111111114</v>
      </c>
      <c r="D903" s="2">
        <f>tb_dados[[#This Row],[Data]]+tb_dados[[#This Row],[Hora]]</f>
        <v>46093.648611111108</v>
      </c>
      <c r="E903" t="s">
        <v>11</v>
      </c>
      <c r="F903" t="s">
        <v>14</v>
      </c>
      <c r="G903" t="s">
        <v>21</v>
      </c>
      <c r="H903" s="4">
        <v>350</v>
      </c>
      <c r="I903" s="5">
        <v>1</v>
      </c>
      <c r="K903" t="s">
        <v>25</v>
      </c>
    </row>
    <row r="904" spans="1:11" x14ac:dyDescent="0.3">
      <c r="A904">
        <v>1902</v>
      </c>
      <c r="B904" s="1">
        <v>46081</v>
      </c>
      <c r="C904" s="3">
        <v>0.87708333333333333</v>
      </c>
      <c r="D904" s="2">
        <f>tb_dados[[#This Row],[Data]]+tb_dados[[#This Row],[Hora]]</f>
        <v>46081.877083333333</v>
      </c>
      <c r="E904" t="s">
        <v>11</v>
      </c>
      <c r="F904" t="s">
        <v>14</v>
      </c>
      <c r="G904" t="s">
        <v>21</v>
      </c>
      <c r="H904" s="4">
        <v>350</v>
      </c>
      <c r="I904" s="5">
        <v>3</v>
      </c>
      <c r="K904" t="s">
        <v>28</v>
      </c>
    </row>
    <row r="905" spans="1:11" x14ac:dyDescent="0.3">
      <c r="A905">
        <v>1903</v>
      </c>
      <c r="B905" s="1">
        <v>46101</v>
      </c>
      <c r="C905" s="3">
        <v>0.47152777777777777</v>
      </c>
      <c r="D905" s="2">
        <f>tb_dados[[#This Row],[Data]]+tb_dados[[#This Row],[Hora]]</f>
        <v>46101.47152777778</v>
      </c>
      <c r="E905" t="s">
        <v>11</v>
      </c>
      <c r="F905" t="s">
        <v>16</v>
      </c>
      <c r="G905" t="s">
        <v>24</v>
      </c>
      <c r="H905" s="4">
        <v>280</v>
      </c>
      <c r="I905" s="5">
        <v>1</v>
      </c>
      <c r="K905" t="s">
        <v>27</v>
      </c>
    </row>
    <row r="906" spans="1:11" x14ac:dyDescent="0.3">
      <c r="A906">
        <v>1904</v>
      </c>
      <c r="B906" s="1">
        <v>46087</v>
      </c>
      <c r="C906" s="3">
        <v>0.38541666666666669</v>
      </c>
      <c r="D906" s="2">
        <f>tb_dados[[#This Row],[Data]]+tb_dados[[#This Row],[Hora]]</f>
        <v>46087.385416666664</v>
      </c>
      <c r="E906" t="s">
        <v>10</v>
      </c>
      <c r="F906" t="s">
        <v>13</v>
      </c>
      <c r="G906" t="s">
        <v>22</v>
      </c>
      <c r="H906" s="4">
        <v>2100</v>
      </c>
      <c r="I906" s="5">
        <v>2</v>
      </c>
      <c r="K906" t="s">
        <v>27</v>
      </c>
    </row>
    <row r="907" spans="1:11" x14ac:dyDescent="0.3">
      <c r="A907">
        <v>1905</v>
      </c>
      <c r="B907" s="1">
        <v>46087</v>
      </c>
      <c r="C907" s="3">
        <v>0.42708333333333331</v>
      </c>
      <c r="D907" s="2">
        <f>tb_dados[[#This Row],[Data]]+tb_dados[[#This Row],[Hora]]</f>
        <v>46087.427083333336</v>
      </c>
      <c r="E907" t="s">
        <v>12</v>
      </c>
      <c r="F907" t="s">
        <v>13</v>
      </c>
      <c r="G907" t="s">
        <v>20</v>
      </c>
      <c r="H907" s="4">
        <v>420</v>
      </c>
      <c r="I907" s="5">
        <v>3</v>
      </c>
      <c r="K907" t="s">
        <v>25</v>
      </c>
    </row>
    <row r="908" spans="1:11" x14ac:dyDescent="0.3">
      <c r="A908">
        <v>1906</v>
      </c>
      <c r="B908" s="1">
        <v>46081</v>
      </c>
      <c r="C908" s="3">
        <v>0.50972222222222219</v>
      </c>
      <c r="D908" s="2">
        <f>tb_dados[[#This Row],[Data]]+tb_dados[[#This Row],[Hora]]</f>
        <v>46081.509722222225</v>
      </c>
      <c r="E908" t="s">
        <v>11</v>
      </c>
      <c r="F908" t="s">
        <v>15</v>
      </c>
      <c r="G908" t="s">
        <v>18</v>
      </c>
      <c r="H908" s="4">
        <v>120</v>
      </c>
      <c r="I908" s="5">
        <v>1</v>
      </c>
      <c r="K908" t="s">
        <v>26</v>
      </c>
    </row>
    <row r="909" spans="1:11" x14ac:dyDescent="0.3">
      <c r="A909">
        <v>1907</v>
      </c>
      <c r="B909" s="1">
        <v>46090</v>
      </c>
      <c r="C909" s="3">
        <v>0.91388888888888886</v>
      </c>
      <c r="D909" s="2">
        <f>tb_dados[[#This Row],[Data]]+tb_dados[[#This Row],[Hora]]</f>
        <v>46090.913888888892</v>
      </c>
      <c r="E909" t="s">
        <v>12</v>
      </c>
      <c r="F909" t="s">
        <v>14</v>
      </c>
      <c r="G909" t="s">
        <v>20</v>
      </c>
      <c r="H909" s="4">
        <v>420</v>
      </c>
      <c r="I909" s="5">
        <v>1</v>
      </c>
      <c r="K909" t="s">
        <v>26</v>
      </c>
    </row>
    <row r="910" spans="1:11" x14ac:dyDescent="0.3">
      <c r="A910">
        <v>1908</v>
      </c>
      <c r="B910" s="1">
        <v>46106</v>
      </c>
      <c r="C910" s="3">
        <v>0.64652777777777781</v>
      </c>
      <c r="D910" s="2">
        <f>tb_dados[[#This Row],[Data]]+tb_dados[[#This Row],[Hora]]</f>
        <v>46106.646527777775</v>
      </c>
      <c r="E910" t="s">
        <v>10</v>
      </c>
      <c r="F910" t="s">
        <v>14</v>
      </c>
      <c r="G910" t="s">
        <v>22</v>
      </c>
      <c r="H910" s="4">
        <v>2100</v>
      </c>
      <c r="I910" s="5">
        <v>2</v>
      </c>
      <c r="K910" t="s">
        <v>26</v>
      </c>
    </row>
    <row r="911" spans="1:11" x14ac:dyDescent="0.3">
      <c r="A911">
        <v>1909</v>
      </c>
      <c r="B911" s="1">
        <v>46107</v>
      </c>
      <c r="C911" s="3">
        <v>0.57222222222222219</v>
      </c>
      <c r="D911" s="2">
        <f>tb_dados[[#This Row],[Data]]+tb_dados[[#This Row],[Hora]]</f>
        <v>46107.572222222225</v>
      </c>
      <c r="E911" t="s">
        <v>10</v>
      </c>
      <c r="F911" t="s">
        <v>15</v>
      </c>
      <c r="G911" t="s">
        <v>22</v>
      </c>
      <c r="H911" s="4">
        <v>2100</v>
      </c>
      <c r="I911" s="5">
        <v>3</v>
      </c>
      <c r="K911" t="s">
        <v>27</v>
      </c>
    </row>
    <row r="912" spans="1:11" x14ac:dyDescent="0.3">
      <c r="A912">
        <v>1910</v>
      </c>
      <c r="B912" s="1">
        <v>46080</v>
      </c>
      <c r="C912" s="3">
        <v>0.86458333333333337</v>
      </c>
      <c r="D912" s="2">
        <f>tb_dados[[#This Row],[Data]]+tb_dados[[#This Row],[Hora]]</f>
        <v>46080.864583333336</v>
      </c>
      <c r="E912" t="s">
        <v>12</v>
      </c>
      <c r="F912" t="s">
        <v>15</v>
      </c>
      <c r="G912" t="s">
        <v>20</v>
      </c>
      <c r="H912" s="4">
        <v>420</v>
      </c>
      <c r="I912" s="5">
        <v>3</v>
      </c>
      <c r="K912" t="s">
        <v>26</v>
      </c>
    </row>
    <row r="913" spans="1:11" x14ac:dyDescent="0.3">
      <c r="A913">
        <v>1911</v>
      </c>
      <c r="B913" s="1">
        <v>46096</v>
      </c>
      <c r="C913" s="3">
        <v>0.83472222222222225</v>
      </c>
      <c r="D913" s="2">
        <f>tb_dados[[#This Row],[Data]]+tb_dados[[#This Row],[Hora]]</f>
        <v>46096.834722222222</v>
      </c>
      <c r="E913" t="s">
        <v>10</v>
      </c>
      <c r="F913" t="s">
        <v>15</v>
      </c>
      <c r="G913" t="s">
        <v>17</v>
      </c>
      <c r="H913" s="4">
        <v>900</v>
      </c>
      <c r="I913" s="5">
        <v>3</v>
      </c>
      <c r="K913" t="s">
        <v>28</v>
      </c>
    </row>
    <row r="914" spans="1:11" x14ac:dyDescent="0.3">
      <c r="A914">
        <v>1912</v>
      </c>
      <c r="B914" s="1">
        <v>46088</v>
      </c>
      <c r="C914" s="3">
        <v>0.73541666666666661</v>
      </c>
      <c r="D914" s="2">
        <f>tb_dados[[#This Row],[Data]]+tb_dados[[#This Row],[Hora]]</f>
        <v>46088.73541666667</v>
      </c>
      <c r="E914" t="s">
        <v>11</v>
      </c>
      <c r="F914" t="s">
        <v>13</v>
      </c>
      <c r="G914" t="s">
        <v>18</v>
      </c>
      <c r="H914" s="4">
        <v>120</v>
      </c>
      <c r="I914" s="5">
        <v>3</v>
      </c>
      <c r="K914" t="s">
        <v>25</v>
      </c>
    </row>
    <row r="915" spans="1:11" x14ac:dyDescent="0.3">
      <c r="A915">
        <v>1913</v>
      </c>
      <c r="B915" s="1">
        <v>46096</v>
      </c>
      <c r="C915" s="3">
        <v>0.62222222222222223</v>
      </c>
      <c r="D915" s="2">
        <f>tb_dados[[#This Row],[Data]]+tb_dados[[#This Row],[Hora]]</f>
        <v>46096.62222222222</v>
      </c>
      <c r="E915" t="s">
        <v>12</v>
      </c>
      <c r="F915" t="s">
        <v>14</v>
      </c>
      <c r="G915" t="s">
        <v>20</v>
      </c>
      <c r="H915" s="4">
        <v>420</v>
      </c>
      <c r="I915" s="5">
        <v>1</v>
      </c>
      <c r="K915" t="s">
        <v>25</v>
      </c>
    </row>
    <row r="916" spans="1:11" x14ac:dyDescent="0.3">
      <c r="A916">
        <v>1914</v>
      </c>
      <c r="B916" s="1">
        <v>46085</v>
      </c>
      <c r="C916" s="3">
        <v>0.77013888888888893</v>
      </c>
      <c r="D916" s="2">
        <f>tb_dados[[#This Row],[Data]]+tb_dados[[#This Row],[Hora]]</f>
        <v>46085.770138888889</v>
      </c>
      <c r="E916" t="s">
        <v>12</v>
      </c>
      <c r="F916" t="s">
        <v>14</v>
      </c>
      <c r="G916" t="s">
        <v>20</v>
      </c>
      <c r="H916" s="4">
        <v>420</v>
      </c>
      <c r="I916" s="5">
        <v>2</v>
      </c>
      <c r="K916" t="s">
        <v>26</v>
      </c>
    </row>
    <row r="917" spans="1:11" x14ac:dyDescent="0.3">
      <c r="A917">
        <v>1915</v>
      </c>
      <c r="B917" s="1">
        <v>46087</v>
      </c>
      <c r="C917" s="3">
        <v>0.9194444444444444</v>
      </c>
      <c r="D917" s="2">
        <f>tb_dados[[#This Row],[Data]]+tb_dados[[#This Row],[Hora]]</f>
        <v>46087.919444444444</v>
      </c>
      <c r="E917" t="s">
        <v>11</v>
      </c>
      <c r="F917" t="s">
        <v>14</v>
      </c>
      <c r="G917" t="s">
        <v>21</v>
      </c>
      <c r="H917" s="4">
        <v>350</v>
      </c>
      <c r="I917" s="5">
        <v>2</v>
      </c>
      <c r="K917" t="s">
        <v>26</v>
      </c>
    </row>
    <row r="918" spans="1:11" x14ac:dyDescent="0.3">
      <c r="A918">
        <v>1916</v>
      </c>
      <c r="B918" s="1">
        <v>46087</v>
      </c>
      <c r="C918" s="3">
        <v>0.92708333333333337</v>
      </c>
      <c r="D918" s="2">
        <f>tb_dados[[#This Row],[Data]]+tb_dados[[#This Row],[Hora]]</f>
        <v>46087.927083333336</v>
      </c>
      <c r="E918" t="s">
        <v>10</v>
      </c>
      <c r="F918" t="s">
        <v>14</v>
      </c>
      <c r="G918" t="s">
        <v>17</v>
      </c>
      <c r="H918" s="4">
        <v>900</v>
      </c>
      <c r="I918" s="5">
        <v>2</v>
      </c>
      <c r="K918" t="s">
        <v>27</v>
      </c>
    </row>
    <row r="919" spans="1:11" x14ac:dyDescent="0.3">
      <c r="A919">
        <v>1917</v>
      </c>
      <c r="B919" s="1">
        <v>46105</v>
      </c>
      <c r="C919" s="3">
        <v>0.70208333333333339</v>
      </c>
      <c r="D919" s="2">
        <f>tb_dados[[#This Row],[Data]]+tb_dados[[#This Row],[Hora]]</f>
        <v>46105.70208333333</v>
      </c>
      <c r="E919" t="s">
        <v>11</v>
      </c>
      <c r="F919" t="s">
        <v>13</v>
      </c>
      <c r="G919" t="s">
        <v>18</v>
      </c>
      <c r="H919" s="4">
        <v>120</v>
      </c>
      <c r="I919" s="5">
        <v>1</v>
      </c>
      <c r="K919" t="s">
        <v>25</v>
      </c>
    </row>
    <row r="920" spans="1:11" x14ac:dyDescent="0.3">
      <c r="A920">
        <v>1918</v>
      </c>
      <c r="B920" s="1">
        <v>46098</v>
      </c>
      <c r="C920" s="3">
        <v>0.58680555555555558</v>
      </c>
      <c r="D920" s="2">
        <f>tb_dados[[#This Row],[Data]]+tb_dados[[#This Row],[Hora]]</f>
        <v>46098.586805555555</v>
      </c>
      <c r="E920" t="s">
        <v>10</v>
      </c>
      <c r="F920" t="s">
        <v>16</v>
      </c>
      <c r="G920" t="s">
        <v>23</v>
      </c>
      <c r="H920" s="4">
        <v>4500</v>
      </c>
      <c r="I920" s="5">
        <v>2</v>
      </c>
      <c r="K920" t="s">
        <v>28</v>
      </c>
    </row>
    <row r="921" spans="1:11" x14ac:dyDescent="0.3">
      <c r="A921">
        <v>1919</v>
      </c>
      <c r="B921" s="1">
        <v>46085</v>
      </c>
      <c r="C921" s="3">
        <v>0.66736111111111107</v>
      </c>
      <c r="D921" s="2">
        <f>tb_dados[[#This Row],[Data]]+tb_dados[[#This Row],[Hora]]</f>
        <v>46085.667361111111</v>
      </c>
      <c r="E921" t="s">
        <v>10</v>
      </c>
      <c r="F921" t="s">
        <v>16</v>
      </c>
      <c r="G921" t="s">
        <v>23</v>
      </c>
      <c r="H921" s="4">
        <v>4500</v>
      </c>
      <c r="I921" s="5">
        <v>2</v>
      </c>
      <c r="K921" t="s">
        <v>28</v>
      </c>
    </row>
    <row r="922" spans="1:11" x14ac:dyDescent="0.3">
      <c r="A922">
        <v>1920</v>
      </c>
      <c r="B922" s="1">
        <v>46083</v>
      </c>
      <c r="C922" s="3">
        <v>0.51874999999999993</v>
      </c>
      <c r="D922" s="2">
        <f>tb_dados[[#This Row],[Data]]+tb_dados[[#This Row],[Hora]]</f>
        <v>46083.518750000003</v>
      </c>
      <c r="E922" t="s">
        <v>10</v>
      </c>
      <c r="F922" t="s">
        <v>16</v>
      </c>
      <c r="G922" t="s">
        <v>22</v>
      </c>
      <c r="H922" s="4">
        <v>2100</v>
      </c>
      <c r="I922" s="5">
        <v>1</v>
      </c>
      <c r="K922" t="s">
        <v>27</v>
      </c>
    </row>
    <row r="923" spans="1:11" x14ac:dyDescent="0.3">
      <c r="A923">
        <v>1921</v>
      </c>
      <c r="B923" s="1">
        <v>46098</v>
      </c>
      <c r="C923" s="3">
        <v>0.4458333333333333</v>
      </c>
      <c r="D923" s="2">
        <f>tb_dados[[#This Row],[Data]]+tb_dados[[#This Row],[Hora]]</f>
        <v>46098.445833333331</v>
      </c>
      <c r="E923" t="s">
        <v>10</v>
      </c>
      <c r="F923" t="s">
        <v>14</v>
      </c>
      <c r="G923" t="s">
        <v>17</v>
      </c>
      <c r="H923" s="4">
        <v>900</v>
      </c>
      <c r="I923" s="5">
        <v>1</v>
      </c>
      <c r="K923" t="s">
        <v>26</v>
      </c>
    </row>
    <row r="924" spans="1:11" x14ac:dyDescent="0.3">
      <c r="A924">
        <v>1922</v>
      </c>
      <c r="B924" s="1">
        <v>46079</v>
      </c>
      <c r="C924" s="3">
        <v>0.45277777777777778</v>
      </c>
      <c r="D924" s="2">
        <f>tb_dados[[#This Row],[Data]]+tb_dados[[#This Row],[Hora]]</f>
        <v>46079.452777777777</v>
      </c>
      <c r="E924" t="s">
        <v>11</v>
      </c>
      <c r="F924" t="s">
        <v>14</v>
      </c>
      <c r="G924" t="s">
        <v>24</v>
      </c>
      <c r="H924" s="4">
        <v>280</v>
      </c>
      <c r="I924" s="5">
        <v>3</v>
      </c>
      <c r="K924" t="s">
        <v>25</v>
      </c>
    </row>
    <row r="925" spans="1:11" x14ac:dyDescent="0.3">
      <c r="A925">
        <v>1923</v>
      </c>
      <c r="B925" s="1">
        <v>46097</v>
      </c>
      <c r="C925" s="3">
        <v>0.81319444444444444</v>
      </c>
      <c r="D925" s="2">
        <f>tb_dados[[#This Row],[Data]]+tb_dados[[#This Row],[Hora]]</f>
        <v>46097.813194444447</v>
      </c>
      <c r="E925" t="s">
        <v>11</v>
      </c>
      <c r="F925" t="s">
        <v>13</v>
      </c>
      <c r="G925" t="s">
        <v>18</v>
      </c>
      <c r="H925" s="4">
        <v>120</v>
      </c>
      <c r="I925" s="5">
        <v>2</v>
      </c>
      <c r="K925" t="s">
        <v>26</v>
      </c>
    </row>
    <row r="926" spans="1:11" x14ac:dyDescent="0.3">
      <c r="A926">
        <v>1924</v>
      </c>
      <c r="B926" s="1">
        <v>46078</v>
      </c>
      <c r="C926" s="3">
        <v>0.76527777777777783</v>
      </c>
      <c r="D926" s="2">
        <f>tb_dados[[#This Row],[Data]]+tb_dados[[#This Row],[Hora]]</f>
        <v>46078.765277777777</v>
      </c>
      <c r="E926" t="s">
        <v>12</v>
      </c>
      <c r="F926" t="s">
        <v>15</v>
      </c>
      <c r="G926" t="s">
        <v>20</v>
      </c>
      <c r="H926" s="4">
        <v>420</v>
      </c>
      <c r="I926" s="5">
        <v>3</v>
      </c>
      <c r="K926" t="s">
        <v>26</v>
      </c>
    </row>
    <row r="927" spans="1:11" x14ac:dyDescent="0.3">
      <c r="A927">
        <v>1925</v>
      </c>
      <c r="B927" s="1">
        <v>46088</v>
      </c>
      <c r="C927" s="3">
        <v>0.62152777777777779</v>
      </c>
      <c r="D927" s="2">
        <f>tb_dados[[#This Row],[Data]]+tb_dados[[#This Row],[Hora]]</f>
        <v>46088.621527777781</v>
      </c>
      <c r="E927" t="s">
        <v>11</v>
      </c>
      <c r="F927" t="s">
        <v>14</v>
      </c>
      <c r="G927" t="s">
        <v>21</v>
      </c>
      <c r="H927" s="4">
        <v>350</v>
      </c>
      <c r="I927" s="5">
        <v>3</v>
      </c>
      <c r="K927" t="s">
        <v>25</v>
      </c>
    </row>
    <row r="928" spans="1:11" x14ac:dyDescent="0.3">
      <c r="A928">
        <v>1926</v>
      </c>
      <c r="B928" s="1">
        <v>46106</v>
      </c>
      <c r="C928" s="3">
        <v>0.41805555555555557</v>
      </c>
      <c r="D928" s="2">
        <f>tb_dados[[#This Row],[Data]]+tb_dados[[#This Row],[Hora]]</f>
        <v>46106.418055555558</v>
      </c>
      <c r="E928" t="s">
        <v>10</v>
      </c>
      <c r="F928" t="s">
        <v>16</v>
      </c>
      <c r="G928" t="s">
        <v>17</v>
      </c>
      <c r="H928" s="4">
        <v>900</v>
      </c>
      <c r="I928" s="5">
        <v>1</v>
      </c>
      <c r="K928" t="s">
        <v>27</v>
      </c>
    </row>
    <row r="929" spans="1:11" x14ac:dyDescent="0.3">
      <c r="A929">
        <v>1927</v>
      </c>
      <c r="B929" s="1">
        <v>46090</v>
      </c>
      <c r="C929" s="3">
        <v>0.44791666666666669</v>
      </c>
      <c r="D929" s="2">
        <f>tb_dados[[#This Row],[Data]]+tb_dados[[#This Row],[Hora]]</f>
        <v>46090.447916666664</v>
      </c>
      <c r="E929" t="s">
        <v>10</v>
      </c>
      <c r="F929" t="s">
        <v>16</v>
      </c>
      <c r="G929" t="s">
        <v>22</v>
      </c>
      <c r="H929" s="4">
        <v>2100</v>
      </c>
      <c r="I929" s="5">
        <v>3</v>
      </c>
      <c r="K929" t="s">
        <v>27</v>
      </c>
    </row>
    <row r="930" spans="1:11" x14ac:dyDescent="0.3">
      <c r="A930">
        <v>1928</v>
      </c>
      <c r="B930" s="1">
        <v>46081</v>
      </c>
      <c r="C930" s="3">
        <v>0.37777777777777777</v>
      </c>
      <c r="D930" s="2">
        <f>tb_dados[[#This Row],[Data]]+tb_dados[[#This Row],[Hora]]</f>
        <v>46081.37777777778</v>
      </c>
      <c r="E930" t="s">
        <v>10</v>
      </c>
      <c r="F930" t="s">
        <v>15</v>
      </c>
      <c r="G930" t="s">
        <v>22</v>
      </c>
      <c r="H930" s="4">
        <v>2100</v>
      </c>
      <c r="I930" s="5">
        <v>1</v>
      </c>
      <c r="K930" t="s">
        <v>26</v>
      </c>
    </row>
    <row r="931" spans="1:11" x14ac:dyDescent="0.3">
      <c r="A931">
        <v>1929</v>
      </c>
      <c r="B931" s="1">
        <v>46086</v>
      </c>
      <c r="C931" s="3">
        <v>0.57361111111111118</v>
      </c>
      <c r="D931" s="2">
        <f>tb_dados[[#This Row],[Data]]+tb_dados[[#This Row],[Hora]]</f>
        <v>46086.573611111111</v>
      </c>
      <c r="E931" t="s">
        <v>11</v>
      </c>
      <c r="F931" t="s">
        <v>14</v>
      </c>
      <c r="G931" t="s">
        <v>21</v>
      </c>
      <c r="H931" s="4">
        <v>350</v>
      </c>
      <c r="I931" s="5">
        <v>1</v>
      </c>
      <c r="K931" t="s">
        <v>25</v>
      </c>
    </row>
    <row r="932" spans="1:11" x14ac:dyDescent="0.3">
      <c r="A932">
        <v>1930</v>
      </c>
      <c r="B932" s="1">
        <v>46092</v>
      </c>
      <c r="C932" s="3">
        <v>0.81458333333333333</v>
      </c>
      <c r="D932" s="2">
        <f>tb_dados[[#This Row],[Data]]+tb_dados[[#This Row],[Hora]]</f>
        <v>46092.814583333333</v>
      </c>
      <c r="E932" t="s">
        <v>12</v>
      </c>
      <c r="F932" t="s">
        <v>16</v>
      </c>
      <c r="G932" t="s">
        <v>19</v>
      </c>
      <c r="H932" s="4">
        <v>850</v>
      </c>
      <c r="I932" s="5">
        <v>2</v>
      </c>
      <c r="K932" t="s">
        <v>25</v>
      </c>
    </row>
    <row r="933" spans="1:11" x14ac:dyDescent="0.3">
      <c r="A933">
        <v>1931</v>
      </c>
      <c r="B933" s="1">
        <v>46099</v>
      </c>
      <c r="C933" s="3">
        <v>0.62013888888888891</v>
      </c>
      <c r="D933" s="2">
        <f>tb_dados[[#This Row],[Data]]+tb_dados[[#This Row],[Hora]]</f>
        <v>46099.620138888888</v>
      </c>
      <c r="E933" t="s">
        <v>10</v>
      </c>
      <c r="F933" t="s">
        <v>13</v>
      </c>
      <c r="G933" t="s">
        <v>22</v>
      </c>
      <c r="H933" s="4">
        <v>2100</v>
      </c>
      <c r="I933" s="5">
        <v>1</v>
      </c>
      <c r="K933" t="s">
        <v>25</v>
      </c>
    </row>
    <row r="934" spans="1:11" x14ac:dyDescent="0.3">
      <c r="A934">
        <v>1932</v>
      </c>
      <c r="B934" s="1">
        <v>46106</v>
      </c>
      <c r="C934" s="3">
        <v>0.42291666666666666</v>
      </c>
      <c r="D934" s="2">
        <f>tb_dados[[#This Row],[Data]]+tb_dados[[#This Row],[Hora]]</f>
        <v>46106.42291666667</v>
      </c>
      <c r="E934" t="s">
        <v>11</v>
      </c>
      <c r="F934" t="s">
        <v>13</v>
      </c>
      <c r="G934" t="s">
        <v>18</v>
      </c>
      <c r="H934" s="4">
        <v>120</v>
      </c>
      <c r="I934" s="5">
        <v>2</v>
      </c>
      <c r="K934" t="s">
        <v>25</v>
      </c>
    </row>
    <row r="935" spans="1:11" x14ac:dyDescent="0.3">
      <c r="A935">
        <v>1933</v>
      </c>
      <c r="B935" s="1">
        <v>46087</v>
      </c>
      <c r="C935" s="3">
        <v>0.82777777777777783</v>
      </c>
      <c r="D935" s="2">
        <f>tb_dados[[#This Row],[Data]]+tb_dados[[#This Row],[Hora]]</f>
        <v>46087.827777777777</v>
      </c>
      <c r="E935" t="s">
        <v>11</v>
      </c>
      <c r="F935" t="s">
        <v>15</v>
      </c>
      <c r="G935" t="s">
        <v>24</v>
      </c>
      <c r="H935" s="4">
        <v>280</v>
      </c>
      <c r="I935" s="5">
        <v>3</v>
      </c>
      <c r="K935" t="s">
        <v>25</v>
      </c>
    </row>
    <row r="936" spans="1:11" x14ac:dyDescent="0.3">
      <c r="A936">
        <v>1934</v>
      </c>
      <c r="B936" s="1">
        <v>46108</v>
      </c>
      <c r="C936" s="3">
        <v>0.56944444444444442</v>
      </c>
      <c r="D936" s="2">
        <f>tb_dados[[#This Row],[Data]]+tb_dados[[#This Row],[Hora]]</f>
        <v>46108.569444444445</v>
      </c>
      <c r="E936" t="s">
        <v>11</v>
      </c>
      <c r="F936" t="s">
        <v>16</v>
      </c>
      <c r="G936" t="s">
        <v>24</v>
      </c>
      <c r="H936" s="4">
        <v>280</v>
      </c>
      <c r="I936" s="5">
        <v>3</v>
      </c>
      <c r="K936" t="s">
        <v>25</v>
      </c>
    </row>
    <row r="937" spans="1:11" x14ac:dyDescent="0.3">
      <c r="A937">
        <v>1935</v>
      </c>
      <c r="B937" s="1">
        <v>46090</v>
      </c>
      <c r="C937" s="3">
        <v>0.93888888888888899</v>
      </c>
      <c r="D937" s="2">
        <f>tb_dados[[#This Row],[Data]]+tb_dados[[#This Row],[Hora]]</f>
        <v>46090.938888888886</v>
      </c>
      <c r="E937" t="s">
        <v>11</v>
      </c>
      <c r="F937" t="s">
        <v>15</v>
      </c>
      <c r="G937" t="s">
        <v>21</v>
      </c>
      <c r="H937" s="4">
        <v>350</v>
      </c>
      <c r="I937" s="5">
        <v>3</v>
      </c>
      <c r="K937" t="s">
        <v>25</v>
      </c>
    </row>
    <row r="938" spans="1:11" x14ac:dyDescent="0.3">
      <c r="A938">
        <v>1936</v>
      </c>
      <c r="B938" s="1">
        <v>46098</v>
      </c>
      <c r="C938" s="3">
        <v>0.87013888888888891</v>
      </c>
      <c r="D938" s="2">
        <f>tb_dados[[#This Row],[Data]]+tb_dados[[#This Row],[Hora]]</f>
        <v>46098.870138888888</v>
      </c>
      <c r="E938" t="s">
        <v>10</v>
      </c>
      <c r="F938" t="s">
        <v>15</v>
      </c>
      <c r="G938" t="s">
        <v>22</v>
      </c>
      <c r="H938" s="4">
        <v>2100</v>
      </c>
      <c r="I938" s="5">
        <v>2</v>
      </c>
      <c r="K938" t="s">
        <v>25</v>
      </c>
    </row>
    <row r="939" spans="1:11" x14ac:dyDescent="0.3">
      <c r="A939">
        <v>1937</v>
      </c>
      <c r="B939" s="1">
        <v>46079</v>
      </c>
      <c r="C939" s="3">
        <v>0.79166666666666663</v>
      </c>
      <c r="D939" s="2">
        <f>tb_dados[[#This Row],[Data]]+tb_dados[[#This Row],[Hora]]</f>
        <v>46079.791666666664</v>
      </c>
      <c r="E939" t="s">
        <v>11</v>
      </c>
      <c r="F939" t="s">
        <v>15</v>
      </c>
      <c r="G939" t="s">
        <v>21</v>
      </c>
      <c r="H939" s="4">
        <v>350</v>
      </c>
      <c r="I939" s="5">
        <v>3</v>
      </c>
      <c r="K939" t="s">
        <v>28</v>
      </c>
    </row>
    <row r="940" spans="1:11" x14ac:dyDescent="0.3">
      <c r="A940">
        <v>1938</v>
      </c>
      <c r="B940" s="1">
        <v>46085</v>
      </c>
      <c r="C940" s="3">
        <v>0.64444444444444449</v>
      </c>
      <c r="D940" s="2">
        <f>tb_dados[[#This Row],[Data]]+tb_dados[[#This Row],[Hora]]</f>
        <v>46085.644444444442</v>
      </c>
      <c r="E940" t="s">
        <v>12</v>
      </c>
      <c r="F940" t="s">
        <v>13</v>
      </c>
      <c r="G940" t="s">
        <v>19</v>
      </c>
      <c r="H940" s="4">
        <v>850</v>
      </c>
      <c r="I940" s="5">
        <v>3</v>
      </c>
      <c r="K940" t="s">
        <v>26</v>
      </c>
    </row>
    <row r="941" spans="1:11" x14ac:dyDescent="0.3">
      <c r="A941">
        <v>1939</v>
      </c>
      <c r="B941" s="1">
        <v>46078</v>
      </c>
      <c r="C941" s="3">
        <v>0.4604166666666667</v>
      </c>
      <c r="D941" s="2">
        <f>tb_dados[[#This Row],[Data]]+tb_dados[[#This Row],[Hora]]</f>
        <v>46078.460416666669</v>
      </c>
      <c r="E941" t="s">
        <v>10</v>
      </c>
      <c r="F941" t="s">
        <v>13</v>
      </c>
      <c r="G941" t="s">
        <v>22</v>
      </c>
      <c r="H941" s="4">
        <v>2100</v>
      </c>
      <c r="I941" s="5">
        <v>3</v>
      </c>
      <c r="K941" t="s">
        <v>26</v>
      </c>
    </row>
    <row r="942" spans="1:11" x14ac:dyDescent="0.3">
      <c r="A942">
        <v>1940</v>
      </c>
      <c r="B942" s="1">
        <v>46082</v>
      </c>
      <c r="C942" s="3">
        <v>0.64861111111111114</v>
      </c>
      <c r="D942" s="2">
        <f>tb_dados[[#This Row],[Data]]+tb_dados[[#This Row],[Hora]]</f>
        <v>46082.648611111108</v>
      </c>
      <c r="E942" t="s">
        <v>11</v>
      </c>
      <c r="F942" t="s">
        <v>16</v>
      </c>
      <c r="G942" t="s">
        <v>24</v>
      </c>
      <c r="H942" s="4">
        <v>280</v>
      </c>
      <c r="I942" s="5">
        <v>1</v>
      </c>
      <c r="K942" t="s">
        <v>28</v>
      </c>
    </row>
    <row r="943" spans="1:11" x14ac:dyDescent="0.3">
      <c r="A943">
        <v>1941</v>
      </c>
      <c r="B943" s="1">
        <v>46101</v>
      </c>
      <c r="C943" s="3">
        <v>0.50624999999999998</v>
      </c>
      <c r="D943" s="2">
        <f>tb_dados[[#This Row],[Data]]+tb_dados[[#This Row],[Hora]]</f>
        <v>46101.506249999999</v>
      </c>
      <c r="E943" t="s">
        <v>10</v>
      </c>
      <c r="F943" t="s">
        <v>15</v>
      </c>
      <c r="G943" t="s">
        <v>23</v>
      </c>
      <c r="H943" s="4">
        <v>4500</v>
      </c>
      <c r="I943" s="5">
        <v>3</v>
      </c>
      <c r="K943" t="s">
        <v>25</v>
      </c>
    </row>
    <row r="944" spans="1:11" x14ac:dyDescent="0.3">
      <c r="A944">
        <v>1942</v>
      </c>
      <c r="B944" s="1">
        <v>46108</v>
      </c>
      <c r="C944" s="3">
        <v>0.72013888888888899</v>
      </c>
      <c r="D944" s="2">
        <f>tb_dados[[#This Row],[Data]]+tb_dados[[#This Row],[Hora]]</f>
        <v>46108.720138888886</v>
      </c>
      <c r="E944" t="s">
        <v>12</v>
      </c>
      <c r="F944" t="s">
        <v>16</v>
      </c>
      <c r="G944" t="s">
        <v>20</v>
      </c>
      <c r="H944" s="4">
        <v>420</v>
      </c>
      <c r="I944" s="5">
        <v>1</v>
      </c>
      <c r="K944" t="s">
        <v>28</v>
      </c>
    </row>
    <row r="945" spans="1:11" x14ac:dyDescent="0.3">
      <c r="A945">
        <v>1943</v>
      </c>
      <c r="B945" s="1">
        <v>46090</v>
      </c>
      <c r="C945" s="3">
        <v>0.55902777777777779</v>
      </c>
      <c r="D945" s="2">
        <f>tb_dados[[#This Row],[Data]]+tb_dados[[#This Row],[Hora]]</f>
        <v>46090.559027777781</v>
      </c>
      <c r="E945" t="s">
        <v>10</v>
      </c>
      <c r="F945" t="s">
        <v>15</v>
      </c>
      <c r="G945" t="s">
        <v>23</v>
      </c>
      <c r="H945" s="4">
        <v>4500</v>
      </c>
      <c r="I945" s="5">
        <v>2</v>
      </c>
      <c r="K945" t="s">
        <v>27</v>
      </c>
    </row>
    <row r="946" spans="1:11" x14ac:dyDescent="0.3">
      <c r="A946">
        <v>1944</v>
      </c>
      <c r="B946" s="1">
        <v>46100</v>
      </c>
      <c r="C946" s="3">
        <v>0.65555555555555556</v>
      </c>
      <c r="D946" s="2">
        <f>tb_dados[[#This Row],[Data]]+tb_dados[[#This Row],[Hora]]</f>
        <v>46100.655555555553</v>
      </c>
      <c r="E946" t="s">
        <v>11</v>
      </c>
      <c r="F946" t="s">
        <v>15</v>
      </c>
      <c r="G946" t="s">
        <v>24</v>
      </c>
      <c r="H946" s="4">
        <v>280</v>
      </c>
      <c r="I946" s="5">
        <v>1</v>
      </c>
      <c r="K946" t="s">
        <v>25</v>
      </c>
    </row>
    <row r="947" spans="1:11" x14ac:dyDescent="0.3">
      <c r="A947">
        <v>1945</v>
      </c>
      <c r="B947" s="1">
        <v>46096</v>
      </c>
      <c r="C947" s="3">
        <v>0.70000000000000007</v>
      </c>
      <c r="D947" s="2">
        <f>tb_dados[[#This Row],[Data]]+tb_dados[[#This Row],[Hora]]</f>
        <v>46096.7</v>
      </c>
      <c r="E947" t="s">
        <v>12</v>
      </c>
      <c r="F947" t="s">
        <v>14</v>
      </c>
      <c r="G947" t="s">
        <v>20</v>
      </c>
      <c r="H947" s="4">
        <v>420</v>
      </c>
      <c r="I947" s="5">
        <v>1</v>
      </c>
      <c r="K947" t="s">
        <v>28</v>
      </c>
    </row>
    <row r="948" spans="1:11" x14ac:dyDescent="0.3">
      <c r="A948">
        <v>1946</v>
      </c>
      <c r="B948" s="1">
        <v>46086</v>
      </c>
      <c r="C948" s="3">
        <v>0.79791666666666661</v>
      </c>
      <c r="D948" s="2">
        <f>tb_dados[[#This Row],[Data]]+tb_dados[[#This Row],[Hora]]</f>
        <v>46086.79791666667</v>
      </c>
      <c r="E948" t="s">
        <v>12</v>
      </c>
      <c r="F948" t="s">
        <v>16</v>
      </c>
      <c r="G948" t="s">
        <v>19</v>
      </c>
      <c r="H948" s="4">
        <v>850</v>
      </c>
      <c r="I948" s="5">
        <v>1</v>
      </c>
      <c r="K948" t="s">
        <v>25</v>
      </c>
    </row>
    <row r="949" spans="1:11" x14ac:dyDescent="0.3">
      <c r="A949">
        <v>1947</v>
      </c>
      <c r="B949" s="1">
        <v>46108</v>
      </c>
      <c r="C949" s="3">
        <v>0.5854166666666667</v>
      </c>
      <c r="D949" s="2">
        <f>tb_dados[[#This Row],[Data]]+tb_dados[[#This Row],[Hora]]</f>
        <v>46108.585416666669</v>
      </c>
      <c r="E949" t="s">
        <v>10</v>
      </c>
      <c r="F949" t="s">
        <v>15</v>
      </c>
      <c r="G949" t="s">
        <v>17</v>
      </c>
      <c r="H949" s="4">
        <v>900</v>
      </c>
      <c r="I949" s="5">
        <v>2</v>
      </c>
      <c r="K949" t="s">
        <v>26</v>
      </c>
    </row>
    <row r="950" spans="1:11" x14ac:dyDescent="0.3">
      <c r="A950">
        <v>1948</v>
      </c>
      <c r="B950" s="1">
        <v>46081</v>
      </c>
      <c r="C950" s="3">
        <v>0.40972222222222227</v>
      </c>
      <c r="D950" s="2">
        <f>tb_dados[[#This Row],[Data]]+tb_dados[[#This Row],[Hora]]</f>
        <v>46081.409722222219</v>
      </c>
      <c r="E950" t="s">
        <v>11</v>
      </c>
      <c r="F950" t="s">
        <v>16</v>
      </c>
      <c r="G950" t="s">
        <v>18</v>
      </c>
      <c r="H950" s="4">
        <v>120</v>
      </c>
      <c r="I950" s="5">
        <v>3</v>
      </c>
      <c r="K950" t="s">
        <v>26</v>
      </c>
    </row>
    <row r="951" spans="1:11" x14ac:dyDescent="0.3">
      <c r="A951">
        <v>1949</v>
      </c>
      <c r="B951" s="1">
        <v>46084</v>
      </c>
      <c r="C951" s="3">
        <v>0.4993055555555555</v>
      </c>
      <c r="D951" s="2">
        <f>tb_dados[[#This Row],[Data]]+tb_dados[[#This Row],[Hora]]</f>
        <v>46084.499305555553</v>
      </c>
      <c r="E951" t="s">
        <v>12</v>
      </c>
      <c r="F951" t="s">
        <v>16</v>
      </c>
      <c r="G951" t="s">
        <v>20</v>
      </c>
      <c r="H951" s="4">
        <v>420</v>
      </c>
      <c r="I951" s="5">
        <v>1</v>
      </c>
      <c r="K951" t="s">
        <v>25</v>
      </c>
    </row>
    <row r="952" spans="1:11" x14ac:dyDescent="0.3">
      <c r="A952">
        <v>1950</v>
      </c>
      <c r="B952" s="1">
        <v>46091</v>
      </c>
      <c r="C952" s="3">
        <v>0.87430555555555556</v>
      </c>
      <c r="D952" s="2">
        <f>tb_dados[[#This Row],[Data]]+tb_dados[[#This Row],[Hora]]</f>
        <v>46091.874305555553</v>
      </c>
      <c r="E952" t="s">
        <v>10</v>
      </c>
      <c r="F952" t="s">
        <v>16</v>
      </c>
      <c r="G952" t="s">
        <v>17</v>
      </c>
      <c r="H952" s="4">
        <v>900</v>
      </c>
      <c r="I952" s="5">
        <v>3</v>
      </c>
      <c r="K952" t="s">
        <v>26</v>
      </c>
    </row>
    <row r="953" spans="1:11" x14ac:dyDescent="0.3">
      <c r="A953">
        <v>1951</v>
      </c>
      <c r="B953" s="1">
        <v>46083</v>
      </c>
      <c r="C953" s="3">
        <v>0.74513888888888891</v>
      </c>
      <c r="D953" s="2">
        <f>tb_dados[[#This Row],[Data]]+tb_dados[[#This Row],[Hora]]</f>
        <v>46083.745138888888</v>
      </c>
      <c r="E953" t="s">
        <v>10</v>
      </c>
      <c r="F953" t="s">
        <v>16</v>
      </c>
      <c r="G953" t="s">
        <v>23</v>
      </c>
      <c r="H953" s="4">
        <v>4500</v>
      </c>
      <c r="I953" s="5">
        <v>1</v>
      </c>
      <c r="K953" t="s">
        <v>27</v>
      </c>
    </row>
    <row r="954" spans="1:11" x14ac:dyDescent="0.3">
      <c r="A954">
        <v>1952</v>
      </c>
      <c r="B954" s="1">
        <v>46103</v>
      </c>
      <c r="C954" s="3">
        <v>0.5708333333333333</v>
      </c>
      <c r="D954" s="2">
        <f>tb_dados[[#This Row],[Data]]+tb_dados[[#This Row],[Hora]]</f>
        <v>46103.570833333331</v>
      </c>
      <c r="E954" t="s">
        <v>12</v>
      </c>
      <c r="F954" t="s">
        <v>13</v>
      </c>
      <c r="G954" t="s">
        <v>19</v>
      </c>
      <c r="H954" s="4">
        <v>850</v>
      </c>
      <c r="I954" s="5">
        <v>1</v>
      </c>
      <c r="K954" t="s">
        <v>25</v>
      </c>
    </row>
    <row r="955" spans="1:11" x14ac:dyDescent="0.3">
      <c r="A955">
        <v>1953</v>
      </c>
      <c r="B955" s="1">
        <v>46080</v>
      </c>
      <c r="C955" s="3">
        <v>0.88263888888888886</v>
      </c>
      <c r="D955" s="2">
        <f>tb_dados[[#This Row],[Data]]+tb_dados[[#This Row],[Hora]]</f>
        <v>46080.882638888892</v>
      </c>
      <c r="E955" t="s">
        <v>10</v>
      </c>
      <c r="F955" t="s">
        <v>16</v>
      </c>
      <c r="G955" t="s">
        <v>22</v>
      </c>
      <c r="H955" s="4">
        <v>2100</v>
      </c>
      <c r="I955" s="5">
        <v>2</v>
      </c>
      <c r="K955" t="s">
        <v>25</v>
      </c>
    </row>
    <row r="956" spans="1:11" x14ac:dyDescent="0.3">
      <c r="A956">
        <v>1954</v>
      </c>
      <c r="B956" s="1">
        <v>46106</v>
      </c>
      <c r="C956" s="3">
        <v>0.56944444444444442</v>
      </c>
      <c r="D956" s="2">
        <f>tb_dados[[#This Row],[Data]]+tb_dados[[#This Row],[Hora]]</f>
        <v>46106.569444444445</v>
      </c>
      <c r="E956" t="s">
        <v>10</v>
      </c>
      <c r="F956" t="s">
        <v>15</v>
      </c>
      <c r="G956" t="s">
        <v>22</v>
      </c>
      <c r="H956" s="4">
        <v>2100</v>
      </c>
      <c r="I956" s="5">
        <v>1</v>
      </c>
      <c r="K956" t="s">
        <v>28</v>
      </c>
    </row>
    <row r="957" spans="1:11" x14ac:dyDescent="0.3">
      <c r="A957">
        <v>1955</v>
      </c>
      <c r="B957" s="1">
        <v>46088</v>
      </c>
      <c r="C957" s="3">
        <v>0.3520833333333333</v>
      </c>
      <c r="D957" s="2">
        <f>tb_dados[[#This Row],[Data]]+tb_dados[[#This Row],[Hora]]</f>
        <v>46088.352083333331</v>
      </c>
      <c r="E957" t="s">
        <v>11</v>
      </c>
      <c r="F957" t="s">
        <v>16</v>
      </c>
      <c r="G957" t="s">
        <v>24</v>
      </c>
      <c r="H957" s="4">
        <v>280</v>
      </c>
      <c r="I957" s="5">
        <v>2</v>
      </c>
      <c r="K957" t="s">
        <v>28</v>
      </c>
    </row>
    <row r="958" spans="1:11" x14ac:dyDescent="0.3">
      <c r="A958">
        <v>1956</v>
      </c>
      <c r="B958" s="1">
        <v>46093</v>
      </c>
      <c r="C958" s="3">
        <v>0.77708333333333324</v>
      </c>
      <c r="D958" s="2">
        <f>tb_dados[[#This Row],[Data]]+tb_dados[[#This Row],[Hora]]</f>
        <v>46093.777083333334</v>
      </c>
      <c r="E958" t="s">
        <v>12</v>
      </c>
      <c r="F958" t="s">
        <v>13</v>
      </c>
      <c r="G958" t="s">
        <v>19</v>
      </c>
      <c r="H958" s="4">
        <v>850</v>
      </c>
      <c r="I958" s="5">
        <v>1</v>
      </c>
      <c r="K958" t="s">
        <v>25</v>
      </c>
    </row>
    <row r="959" spans="1:11" x14ac:dyDescent="0.3">
      <c r="A959">
        <v>1957</v>
      </c>
      <c r="B959" s="1">
        <v>46098</v>
      </c>
      <c r="C959" s="3">
        <v>0.83888888888888891</v>
      </c>
      <c r="D959" s="2">
        <f>tb_dados[[#This Row],[Data]]+tb_dados[[#This Row],[Hora]]</f>
        <v>46098.838888888888</v>
      </c>
      <c r="E959" t="s">
        <v>10</v>
      </c>
      <c r="F959" t="s">
        <v>16</v>
      </c>
      <c r="G959" t="s">
        <v>23</v>
      </c>
      <c r="H959" s="4">
        <v>4500</v>
      </c>
      <c r="I959" s="5">
        <v>2</v>
      </c>
      <c r="K959" t="s">
        <v>28</v>
      </c>
    </row>
    <row r="960" spans="1:11" x14ac:dyDescent="0.3">
      <c r="A960">
        <v>1958</v>
      </c>
      <c r="B960" s="1">
        <v>46083</v>
      </c>
      <c r="C960" s="3">
        <v>0.46597222222222223</v>
      </c>
      <c r="D960" s="2">
        <f>tb_dados[[#This Row],[Data]]+tb_dados[[#This Row],[Hora]]</f>
        <v>46083.46597222222</v>
      </c>
      <c r="E960" t="s">
        <v>12</v>
      </c>
      <c r="F960" t="s">
        <v>15</v>
      </c>
      <c r="G960" t="s">
        <v>19</v>
      </c>
      <c r="H960" s="4">
        <v>850</v>
      </c>
      <c r="I960" s="5">
        <v>2</v>
      </c>
      <c r="K960" t="s">
        <v>25</v>
      </c>
    </row>
    <row r="961" spans="1:11" x14ac:dyDescent="0.3">
      <c r="A961">
        <v>1959</v>
      </c>
      <c r="B961" s="1">
        <v>46101</v>
      </c>
      <c r="C961" s="3">
        <v>0.65625</v>
      </c>
      <c r="D961" s="2">
        <f>tb_dados[[#This Row],[Data]]+tb_dados[[#This Row],[Hora]]</f>
        <v>46101.65625</v>
      </c>
      <c r="E961" t="s">
        <v>12</v>
      </c>
      <c r="F961" t="s">
        <v>13</v>
      </c>
      <c r="G961" t="s">
        <v>20</v>
      </c>
      <c r="H961" s="4">
        <v>420</v>
      </c>
      <c r="I961" s="5">
        <v>2</v>
      </c>
      <c r="K961" t="s">
        <v>28</v>
      </c>
    </row>
    <row r="962" spans="1:11" x14ac:dyDescent="0.3">
      <c r="A962">
        <v>1960</v>
      </c>
      <c r="B962" s="1">
        <v>46090</v>
      </c>
      <c r="C962" s="3">
        <v>0.71180555555555547</v>
      </c>
      <c r="D962" s="2">
        <f>tb_dados[[#This Row],[Data]]+tb_dados[[#This Row],[Hora]]</f>
        <v>46090.711805555555</v>
      </c>
      <c r="E962" t="s">
        <v>12</v>
      </c>
      <c r="F962" t="s">
        <v>14</v>
      </c>
      <c r="G962" t="s">
        <v>20</v>
      </c>
      <c r="H962" s="4">
        <v>420</v>
      </c>
      <c r="I962" s="5">
        <v>3</v>
      </c>
      <c r="K962" t="s">
        <v>28</v>
      </c>
    </row>
    <row r="963" spans="1:11" x14ac:dyDescent="0.3">
      <c r="A963">
        <v>1961</v>
      </c>
      <c r="B963" s="1">
        <v>46099</v>
      </c>
      <c r="C963" s="3">
        <v>0.65416666666666667</v>
      </c>
      <c r="D963" s="2">
        <f>tb_dados[[#This Row],[Data]]+tb_dados[[#This Row],[Hora]]</f>
        <v>46099.654166666667</v>
      </c>
      <c r="E963" t="s">
        <v>11</v>
      </c>
      <c r="F963" t="s">
        <v>15</v>
      </c>
      <c r="G963" t="s">
        <v>18</v>
      </c>
      <c r="H963" s="4">
        <v>120</v>
      </c>
      <c r="I963" s="5">
        <v>1</v>
      </c>
      <c r="K963" t="s">
        <v>26</v>
      </c>
    </row>
    <row r="964" spans="1:11" x14ac:dyDescent="0.3">
      <c r="A964">
        <v>1962</v>
      </c>
      <c r="B964" s="1">
        <v>46078</v>
      </c>
      <c r="C964" s="3">
        <v>0.33611111111111108</v>
      </c>
      <c r="D964" s="2">
        <f>tb_dados[[#This Row],[Data]]+tb_dados[[#This Row],[Hora]]</f>
        <v>46078.336111111108</v>
      </c>
      <c r="E964" t="s">
        <v>12</v>
      </c>
      <c r="F964" t="s">
        <v>13</v>
      </c>
      <c r="G964" t="s">
        <v>20</v>
      </c>
      <c r="H964" s="4">
        <v>420</v>
      </c>
      <c r="I964" s="5">
        <v>2</v>
      </c>
      <c r="K964" t="s">
        <v>26</v>
      </c>
    </row>
    <row r="965" spans="1:11" x14ac:dyDescent="0.3">
      <c r="A965">
        <v>1963</v>
      </c>
      <c r="B965" s="1">
        <v>46100</v>
      </c>
      <c r="C965" s="3">
        <v>0.42291666666666666</v>
      </c>
      <c r="D965" s="2">
        <f>tb_dados[[#This Row],[Data]]+tb_dados[[#This Row],[Hora]]</f>
        <v>46100.42291666667</v>
      </c>
      <c r="E965" t="s">
        <v>10</v>
      </c>
      <c r="F965" t="s">
        <v>15</v>
      </c>
      <c r="G965" t="s">
        <v>23</v>
      </c>
      <c r="H965" s="4">
        <v>4500</v>
      </c>
      <c r="I965" s="5">
        <v>2</v>
      </c>
      <c r="K965" t="s">
        <v>27</v>
      </c>
    </row>
    <row r="966" spans="1:11" x14ac:dyDescent="0.3">
      <c r="A966">
        <v>1964</v>
      </c>
      <c r="B966" s="1">
        <v>46108</v>
      </c>
      <c r="C966" s="3">
        <v>0.87638888888888899</v>
      </c>
      <c r="D966" s="2">
        <f>tb_dados[[#This Row],[Data]]+tb_dados[[#This Row],[Hora]]</f>
        <v>46108.876388888886</v>
      </c>
      <c r="E966" t="s">
        <v>12</v>
      </c>
      <c r="F966" t="s">
        <v>14</v>
      </c>
      <c r="G966" t="s">
        <v>20</v>
      </c>
      <c r="H966" s="4">
        <v>420</v>
      </c>
      <c r="I966" s="5">
        <v>1</v>
      </c>
      <c r="K966" t="s">
        <v>26</v>
      </c>
    </row>
    <row r="967" spans="1:11" x14ac:dyDescent="0.3">
      <c r="A967">
        <v>1965</v>
      </c>
      <c r="B967" s="1">
        <v>46095</v>
      </c>
      <c r="C967" s="3">
        <v>0.7715277777777777</v>
      </c>
      <c r="D967" s="2">
        <f>tb_dados[[#This Row],[Data]]+tb_dados[[#This Row],[Hora]]</f>
        <v>46095.771527777775</v>
      </c>
      <c r="E967" t="s">
        <v>10</v>
      </c>
      <c r="F967" t="s">
        <v>13</v>
      </c>
      <c r="G967" t="s">
        <v>17</v>
      </c>
      <c r="H967" s="4">
        <v>900</v>
      </c>
      <c r="I967" s="5">
        <v>2</v>
      </c>
      <c r="K967" t="s">
        <v>27</v>
      </c>
    </row>
    <row r="968" spans="1:11" x14ac:dyDescent="0.3">
      <c r="A968">
        <v>1966</v>
      </c>
      <c r="B968" s="1">
        <v>46090</v>
      </c>
      <c r="C968" s="3">
        <v>0.75277777777777777</v>
      </c>
      <c r="D968" s="2">
        <f>tb_dados[[#This Row],[Data]]+tb_dados[[#This Row],[Hora]]</f>
        <v>46090.75277777778</v>
      </c>
      <c r="E968" t="s">
        <v>12</v>
      </c>
      <c r="F968" t="s">
        <v>14</v>
      </c>
      <c r="G968" t="s">
        <v>19</v>
      </c>
      <c r="H968" s="4">
        <v>850</v>
      </c>
      <c r="I968" s="5">
        <v>3</v>
      </c>
      <c r="K968" t="s">
        <v>27</v>
      </c>
    </row>
    <row r="969" spans="1:11" x14ac:dyDescent="0.3">
      <c r="A969">
        <v>1967</v>
      </c>
      <c r="B969" s="1">
        <v>46082</v>
      </c>
      <c r="C969" s="3">
        <v>0.93194444444444446</v>
      </c>
      <c r="D969" s="2">
        <f>tb_dados[[#This Row],[Data]]+tb_dados[[#This Row],[Hora]]</f>
        <v>46082.931944444441</v>
      </c>
      <c r="E969" t="s">
        <v>12</v>
      </c>
      <c r="F969" t="s">
        <v>14</v>
      </c>
      <c r="G969" t="s">
        <v>19</v>
      </c>
      <c r="H969" s="4">
        <v>850</v>
      </c>
      <c r="I969" s="5">
        <v>1</v>
      </c>
      <c r="K969" t="s">
        <v>27</v>
      </c>
    </row>
    <row r="970" spans="1:11" x14ac:dyDescent="0.3">
      <c r="A970">
        <v>1968</v>
      </c>
      <c r="B970" s="1">
        <v>46084</v>
      </c>
      <c r="C970" s="3">
        <v>0.81805555555555554</v>
      </c>
      <c r="D970" s="2">
        <f>tb_dados[[#This Row],[Data]]+tb_dados[[#This Row],[Hora]]</f>
        <v>46084.818055555559</v>
      </c>
      <c r="E970" t="s">
        <v>11</v>
      </c>
      <c r="F970" t="s">
        <v>13</v>
      </c>
      <c r="G970" t="s">
        <v>24</v>
      </c>
      <c r="H970" s="4">
        <v>280</v>
      </c>
      <c r="I970" s="5">
        <v>3</v>
      </c>
      <c r="K970" t="s">
        <v>25</v>
      </c>
    </row>
    <row r="971" spans="1:11" x14ac:dyDescent="0.3">
      <c r="A971">
        <v>1969</v>
      </c>
      <c r="B971" s="1">
        <v>46085</v>
      </c>
      <c r="C971" s="3">
        <v>0.42083333333333334</v>
      </c>
      <c r="D971" s="2">
        <f>tb_dados[[#This Row],[Data]]+tb_dados[[#This Row],[Hora]]</f>
        <v>46085.42083333333</v>
      </c>
      <c r="E971" t="s">
        <v>10</v>
      </c>
      <c r="F971" t="s">
        <v>13</v>
      </c>
      <c r="G971" t="s">
        <v>23</v>
      </c>
      <c r="H971" s="4">
        <v>4500</v>
      </c>
      <c r="I971" s="5">
        <v>3</v>
      </c>
      <c r="K971" t="s">
        <v>28</v>
      </c>
    </row>
    <row r="972" spans="1:11" x14ac:dyDescent="0.3">
      <c r="A972">
        <v>1970</v>
      </c>
      <c r="B972" s="1">
        <v>46088</v>
      </c>
      <c r="C972" s="3">
        <v>0.87361111111111101</v>
      </c>
      <c r="D972" s="2">
        <f>tb_dados[[#This Row],[Data]]+tb_dados[[#This Row],[Hora]]</f>
        <v>46088.873611111114</v>
      </c>
      <c r="E972" t="s">
        <v>11</v>
      </c>
      <c r="F972" t="s">
        <v>14</v>
      </c>
      <c r="G972" t="s">
        <v>24</v>
      </c>
      <c r="H972" s="4">
        <v>280</v>
      </c>
      <c r="I972" s="5">
        <v>2</v>
      </c>
      <c r="K972" t="s">
        <v>28</v>
      </c>
    </row>
    <row r="973" spans="1:11" x14ac:dyDescent="0.3">
      <c r="A973">
        <v>1971</v>
      </c>
      <c r="B973" s="1">
        <v>46082</v>
      </c>
      <c r="C973" s="3">
        <v>0.77569444444444446</v>
      </c>
      <c r="D973" s="2">
        <f>tb_dados[[#This Row],[Data]]+tb_dados[[#This Row],[Hora]]</f>
        <v>46082.775694444441</v>
      </c>
      <c r="E973" t="s">
        <v>11</v>
      </c>
      <c r="F973" t="s">
        <v>14</v>
      </c>
      <c r="G973" t="s">
        <v>18</v>
      </c>
      <c r="H973" s="4">
        <v>120</v>
      </c>
      <c r="I973" s="5">
        <v>3</v>
      </c>
      <c r="K973" t="s">
        <v>25</v>
      </c>
    </row>
    <row r="974" spans="1:11" x14ac:dyDescent="0.3">
      <c r="A974">
        <v>1972</v>
      </c>
      <c r="B974" s="1">
        <v>46080</v>
      </c>
      <c r="C974" s="3">
        <v>0.78888888888888886</v>
      </c>
      <c r="D974" s="2">
        <f>tb_dados[[#This Row],[Data]]+tb_dados[[#This Row],[Hora]]</f>
        <v>46080.788888888892</v>
      </c>
      <c r="E974" t="s">
        <v>11</v>
      </c>
      <c r="F974" t="s">
        <v>16</v>
      </c>
      <c r="G974" t="s">
        <v>18</v>
      </c>
      <c r="H974" s="4">
        <v>120</v>
      </c>
      <c r="I974" s="5">
        <v>1</v>
      </c>
      <c r="K974" t="s">
        <v>27</v>
      </c>
    </row>
    <row r="975" spans="1:11" x14ac:dyDescent="0.3">
      <c r="A975">
        <v>1973</v>
      </c>
      <c r="B975" s="1">
        <v>46100</v>
      </c>
      <c r="C975" s="3">
        <v>0.79166666666666663</v>
      </c>
      <c r="D975" s="2">
        <f>tb_dados[[#This Row],[Data]]+tb_dados[[#This Row],[Hora]]</f>
        <v>46100.791666666664</v>
      </c>
      <c r="E975" t="s">
        <v>11</v>
      </c>
      <c r="F975" t="s">
        <v>15</v>
      </c>
      <c r="G975" t="s">
        <v>24</v>
      </c>
      <c r="H975" s="4">
        <v>280</v>
      </c>
      <c r="I975" s="5">
        <v>1</v>
      </c>
      <c r="K975" t="s">
        <v>27</v>
      </c>
    </row>
    <row r="976" spans="1:11" x14ac:dyDescent="0.3">
      <c r="A976">
        <v>1974</v>
      </c>
      <c r="B976" s="1">
        <v>46099</v>
      </c>
      <c r="C976" s="3">
        <v>0.60138888888888886</v>
      </c>
      <c r="D976" s="2">
        <f>tb_dados[[#This Row],[Data]]+tb_dados[[#This Row],[Hora]]</f>
        <v>46099.601388888892</v>
      </c>
      <c r="E976" t="s">
        <v>10</v>
      </c>
      <c r="F976" t="s">
        <v>14</v>
      </c>
      <c r="G976" t="s">
        <v>17</v>
      </c>
      <c r="H976" s="4">
        <v>900</v>
      </c>
      <c r="I976" s="5">
        <v>1</v>
      </c>
      <c r="K976" t="s">
        <v>26</v>
      </c>
    </row>
    <row r="977" spans="1:11" x14ac:dyDescent="0.3">
      <c r="A977">
        <v>1975</v>
      </c>
      <c r="B977" s="1">
        <v>46095</v>
      </c>
      <c r="C977" s="3">
        <v>0.37638888888888888</v>
      </c>
      <c r="D977" s="2">
        <f>tb_dados[[#This Row],[Data]]+tb_dados[[#This Row],[Hora]]</f>
        <v>46095.376388888886</v>
      </c>
      <c r="E977" t="s">
        <v>11</v>
      </c>
      <c r="F977" t="s">
        <v>15</v>
      </c>
      <c r="G977" t="s">
        <v>24</v>
      </c>
      <c r="H977" s="4">
        <v>280</v>
      </c>
      <c r="I977" s="5">
        <v>2</v>
      </c>
      <c r="K977" t="s">
        <v>28</v>
      </c>
    </row>
    <row r="978" spans="1:11" x14ac:dyDescent="0.3">
      <c r="A978">
        <v>1976</v>
      </c>
      <c r="B978" s="1">
        <v>46096</v>
      </c>
      <c r="C978" s="3">
        <v>0.60972222222222217</v>
      </c>
      <c r="D978" s="2">
        <f>tb_dados[[#This Row],[Data]]+tb_dados[[#This Row],[Hora]]</f>
        <v>46096.609722222223</v>
      </c>
      <c r="E978" t="s">
        <v>12</v>
      </c>
      <c r="F978" t="s">
        <v>16</v>
      </c>
      <c r="G978" t="s">
        <v>20</v>
      </c>
      <c r="H978" s="4">
        <v>420</v>
      </c>
      <c r="I978" s="5">
        <v>3</v>
      </c>
      <c r="K978" t="s">
        <v>26</v>
      </c>
    </row>
    <row r="979" spans="1:11" x14ac:dyDescent="0.3">
      <c r="A979">
        <v>1977</v>
      </c>
      <c r="B979" s="1">
        <v>46086</v>
      </c>
      <c r="C979" s="3">
        <v>0.71597222222222223</v>
      </c>
      <c r="D979" s="2">
        <f>tb_dados[[#This Row],[Data]]+tb_dados[[#This Row],[Hora]]</f>
        <v>46086.71597222222</v>
      </c>
      <c r="E979" t="s">
        <v>12</v>
      </c>
      <c r="F979" t="s">
        <v>14</v>
      </c>
      <c r="G979" t="s">
        <v>19</v>
      </c>
      <c r="H979" s="4">
        <v>850</v>
      </c>
      <c r="I979" s="5">
        <v>1</v>
      </c>
      <c r="K979" t="s">
        <v>27</v>
      </c>
    </row>
    <row r="980" spans="1:11" x14ac:dyDescent="0.3">
      <c r="A980">
        <v>1978</v>
      </c>
      <c r="B980" s="1">
        <v>46100</v>
      </c>
      <c r="C980" s="3">
        <v>0.82361111111111107</v>
      </c>
      <c r="D980" s="2">
        <f>tb_dados[[#This Row],[Data]]+tb_dados[[#This Row],[Hora]]</f>
        <v>46100.823611111111</v>
      </c>
      <c r="E980" t="s">
        <v>12</v>
      </c>
      <c r="F980" t="s">
        <v>14</v>
      </c>
      <c r="G980" t="s">
        <v>19</v>
      </c>
      <c r="H980" s="4">
        <v>850</v>
      </c>
      <c r="I980" s="5">
        <v>3</v>
      </c>
      <c r="K980" t="s">
        <v>26</v>
      </c>
    </row>
    <row r="981" spans="1:11" x14ac:dyDescent="0.3">
      <c r="A981">
        <v>1979</v>
      </c>
      <c r="B981" s="1">
        <v>46081</v>
      </c>
      <c r="C981" s="3">
        <v>0.84444444444444444</v>
      </c>
      <c r="D981" s="2">
        <f>tb_dados[[#This Row],[Data]]+tb_dados[[#This Row],[Hora]]</f>
        <v>46081.844444444447</v>
      </c>
      <c r="E981" t="s">
        <v>10</v>
      </c>
      <c r="F981" t="s">
        <v>13</v>
      </c>
      <c r="G981" t="s">
        <v>17</v>
      </c>
      <c r="H981" s="4">
        <v>900</v>
      </c>
      <c r="I981" s="5">
        <v>3</v>
      </c>
      <c r="K981" t="s">
        <v>27</v>
      </c>
    </row>
    <row r="982" spans="1:11" x14ac:dyDescent="0.3">
      <c r="A982">
        <v>1980</v>
      </c>
      <c r="B982" s="1">
        <v>46102</v>
      </c>
      <c r="C982" s="3">
        <v>0.82013888888888886</v>
      </c>
      <c r="D982" s="2">
        <f>tb_dados[[#This Row],[Data]]+tb_dados[[#This Row],[Hora]]</f>
        <v>46102.820138888892</v>
      </c>
      <c r="E982" t="s">
        <v>10</v>
      </c>
      <c r="F982" t="s">
        <v>14</v>
      </c>
      <c r="G982" t="s">
        <v>22</v>
      </c>
      <c r="H982" s="4">
        <v>2100</v>
      </c>
      <c r="I982" s="5">
        <v>1</v>
      </c>
      <c r="K982" t="s">
        <v>28</v>
      </c>
    </row>
    <row r="983" spans="1:11" x14ac:dyDescent="0.3">
      <c r="A983">
        <v>1981</v>
      </c>
      <c r="B983" s="1">
        <v>46108</v>
      </c>
      <c r="C983" s="3">
        <v>0.51458333333333328</v>
      </c>
      <c r="D983" s="2">
        <f>tb_dados[[#This Row],[Data]]+tb_dados[[#This Row],[Hora]]</f>
        <v>46108.51458333333</v>
      </c>
      <c r="E983" t="s">
        <v>11</v>
      </c>
      <c r="F983" t="s">
        <v>14</v>
      </c>
      <c r="G983" t="s">
        <v>21</v>
      </c>
      <c r="H983" s="4">
        <v>350</v>
      </c>
      <c r="I983" s="5">
        <v>3</v>
      </c>
      <c r="K983" t="s">
        <v>27</v>
      </c>
    </row>
    <row r="984" spans="1:11" x14ac:dyDescent="0.3">
      <c r="A984">
        <v>1982</v>
      </c>
      <c r="B984" s="1">
        <v>46087</v>
      </c>
      <c r="C984" s="3">
        <v>0.77083333333333337</v>
      </c>
      <c r="D984" s="2">
        <f>tb_dados[[#This Row],[Data]]+tb_dados[[#This Row],[Hora]]</f>
        <v>46087.770833333336</v>
      </c>
      <c r="E984" t="s">
        <v>11</v>
      </c>
      <c r="F984" t="s">
        <v>15</v>
      </c>
      <c r="G984" t="s">
        <v>18</v>
      </c>
      <c r="H984" s="4">
        <v>120</v>
      </c>
      <c r="I984" s="5">
        <v>2</v>
      </c>
      <c r="K984" t="s">
        <v>25</v>
      </c>
    </row>
    <row r="985" spans="1:11" x14ac:dyDescent="0.3">
      <c r="A985">
        <v>1983</v>
      </c>
      <c r="B985" s="1">
        <v>46087</v>
      </c>
      <c r="C985" s="3">
        <v>0.92569444444444438</v>
      </c>
      <c r="D985" s="2">
        <f>tb_dados[[#This Row],[Data]]+tb_dados[[#This Row],[Hora]]</f>
        <v>46087.925694444442</v>
      </c>
      <c r="E985" t="s">
        <v>12</v>
      </c>
      <c r="F985" t="s">
        <v>14</v>
      </c>
      <c r="G985" t="s">
        <v>19</v>
      </c>
      <c r="H985" s="4">
        <v>850</v>
      </c>
      <c r="I985" s="5">
        <v>2</v>
      </c>
      <c r="K985" t="s">
        <v>27</v>
      </c>
    </row>
    <row r="986" spans="1:11" x14ac:dyDescent="0.3">
      <c r="A986">
        <v>1984</v>
      </c>
      <c r="B986" s="1">
        <v>46102</v>
      </c>
      <c r="C986" s="3">
        <v>0.55486111111111114</v>
      </c>
      <c r="D986" s="2">
        <f>tb_dados[[#This Row],[Data]]+tb_dados[[#This Row],[Hora]]</f>
        <v>46102.554861111108</v>
      </c>
      <c r="E986" t="s">
        <v>11</v>
      </c>
      <c r="F986" t="s">
        <v>13</v>
      </c>
      <c r="G986" t="s">
        <v>24</v>
      </c>
      <c r="H986" s="4">
        <v>280</v>
      </c>
      <c r="I986" s="5">
        <v>3</v>
      </c>
      <c r="K986" t="s">
        <v>27</v>
      </c>
    </row>
    <row r="987" spans="1:11" x14ac:dyDescent="0.3">
      <c r="A987">
        <v>1985</v>
      </c>
      <c r="B987" s="1">
        <v>46101</v>
      </c>
      <c r="C987" s="3">
        <v>0.81666666666666676</v>
      </c>
      <c r="D987" s="2">
        <f>tb_dados[[#This Row],[Data]]+tb_dados[[#This Row],[Hora]]</f>
        <v>46101.816666666666</v>
      </c>
      <c r="E987" t="s">
        <v>10</v>
      </c>
      <c r="F987" t="s">
        <v>16</v>
      </c>
      <c r="G987" t="s">
        <v>22</v>
      </c>
      <c r="H987" s="4">
        <v>2100</v>
      </c>
      <c r="I987" s="5">
        <v>1</v>
      </c>
      <c r="K987" t="s">
        <v>26</v>
      </c>
    </row>
    <row r="988" spans="1:11" x14ac:dyDescent="0.3">
      <c r="A988">
        <v>1986</v>
      </c>
      <c r="B988" s="1">
        <v>46081</v>
      </c>
      <c r="C988" s="3">
        <v>0.73541666666666661</v>
      </c>
      <c r="D988" s="2">
        <f>tb_dados[[#This Row],[Data]]+tb_dados[[#This Row],[Hora]]</f>
        <v>46081.73541666667</v>
      </c>
      <c r="E988" t="s">
        <v>10</v>
      </c>
      <c r="F988" t="s">
        <v>16</v>
      </c>
      <c r="G988" t="s">
        <v>23</v>
      </c>
      <c r="H988" s="4">
        <v>4500</v>
      </c>
      <c r="I988" s="5">
        <v>3</v>
      </c>
      <c r="K988" t="s">
        <v>28</v>
      </c>
    </row>
    <row r="989" spans="1:11" x14ac:dyDescent="0.3">
      <c r="A989">
        <v>1987</v>
      </c>
      <c r="B989" s="1">
        <v>46086</v>
      </c>
      <c r="C989" s="3">
        <v>0.6381944444444444</v>
      </c>
      <c r="D989" s="2">
        <f>tb_dados[[#This Row],[Data]]+tb_dados[[#This Row],[Hora]]</f>
        <v>46086.638194444444</v>
      </c>
      <c r="E989" t="s">
        <v>10</v>
      </c>
      <c r="F989" t="s">
        <v>13</v>
      </c>
      <c r="G989" t="s">
        <v>23</v>
      </c>
      <c r="H989" s="4">
        <v>4500</v>
      </c>
      <c r="I989" s="5">
        <v>1</v>
      </c>
      <c r="K989" t="s">
        <v>27</v>
      </c>
    </row>
    <row r="990" spans="1:11" x14ac:dyDescent="0.3">
      <c r="A990">
        <v>1988</v>
      </c>
      <c r="B990" s="1">
        <v>46091</v>
      </c>
      <c r="C990" s="3">
        <v>0.3520833333333333</v>
      </c>
      <c r="D990" s="2">
        <f>tb_dados[[#This Row],[Data]]+tb_dados[[#This Row],[Hora]]</f>
        <v>46091.352083333331</v>
      </c>
      <c r="E990" t="s">
        <v>10</v>
      </c>
      <c r="F990" t="s">
        <v>16</v>
      </c>
      <c r="G990" t="s">
        <v>22</v>
      </c>
      <c r="H990" s="4">
        <v>2100</v>
      </c>
      <c r="I990" s="5">
        <v>3</v>
      </c>
      <c r="K990" t="s">
        <v>25</v>
      </c>
    </row>
    <row r="991" spans="1:11" x14ac:dyDescent="0.3">
      <c r="A991">
        <v>1989</v>
      </c>
      <c r="B991" s="1">
        <v>46104</v>
      </c>
      <c r="C991" s="3">
        <v>0.57916666666666672</v>
      </c>
      <c r="D991" s="2">
        <f>tb_dados[[#This Row],[Data]]+tb_dados[[#This Row],[Hora]]</f>
        <v>46104.57916666667</v>
      </c>
      <c r="E991" t="s">
        <v>12</v>
      </c>
      <c r="F991" t="s">
        <v>13</v>
      </c>
      <c r="G991" t="s">
        <v>19</v>
      </c>
      <c r="H991" s="4">
        <v>850</v>
      </c>
      <c r="I991" s="5">
        <v>3</v>
      </c>
      <c r="K991" t="s">
        <v>25</v>
      </c>
    </row>
    <row r="992" spans="1:11" x14ac:dyDescent="0.3">
      <c r="A992">
        <v>1990</v>
      </c>
      <c r="B992" s="1">
        <v>46081</v>
      </c>
      <c r="C992" s="3">
        <v>0.75347222222222221</v>
      </c>
      <c r="D992" s="2">
        <f>tb_dados[[#This Row],[Data]]+tb_dados[[#This Row],[Hora]]</f>
        <v>46081.753472222219</v>
      </c>
      <c r="E992" t="s">
        <v>12</v>
      </c>
      <c r="F992" t="s">
        <v>13</v>
      </c>
      <c r="G992" t="s">
        <v>19</v>
      </c>
      <c r="H992" s="4">
        <v>850</v>
      </c>
      <c r="I992" s="5">
        <v>3</v>
      </c>
      <c r="K992" t="s">
        <v>27</v>
      </c>
    </row>
    <row r="993" spans="1:11" x14ac:dyDescent="0.3">
      <c r="A993">
        <v>1991</v>
      </c>
      <c r="B993" s="1">
        <v>46101</v>
      </c>
      <c r="C993" s="3">
        <v>0.82847222222222217</v>
      </c>
      <c r="D993" s="2">
        <f>tb_dados[[#This Row],[Data]]+tb_dados[[#This Row],[Hora]]</f>
        <v>46101.828472222223</v>
      </c>
      <c r="E993" t="s">
        <v>10</v>
      </c>
      <c r="F993" t="s">
        <v>15</v>
      </c>
      <c r="G993" t="s">
        <v>22</v>
      </c>
      <c r="H993" s="4">
        <v>2100</v>
      </c>
      <c r="I993" s="5">
        <v>2</v>
      </c>
      <c r="K993" t="s">
        <v>28</v>
      </c>
    </row>
    <row r="994" spans="1:11" x14ac:dyDescent="0.3">
      <c r="A994">
        <v>1992</v>
      </c>
      <c r="B994" s="1">
        <v>46082</v>
      </c>
      <c r="C994" s="3">
        <v>0.43333333333333335</v>
      </c>
      <c r="D994" s="2">
        <f>tb_dados[[#This Row],[Data]]+tb_dados[[#This Row],[Hora]]</f>
        <v>46082.433333333334</v>
      </c>
      <c r="E994" t="s">
        <v>12</v>
      </c>
      <c r="F994" t="s">
        <v>13</v>
      </c>
      <c r="G994" t="s">
        <v>19</v>
      </c>
      <c r="H994" s="4">
        <v>850</v>
      </c>
      <c r="I994" s="5">
        <v>3</v>
      </c>
      <c r="K994" t="s">
        <v>25</v>
      </c>
    </row>
    <row r="995" spans="1:11" x14ac:dyDescent="0.3">
      <c r="A995">
        <v>1993</v>
      </c>
      <c r="B995" s="1">
        <v>46082</v>
      </c>
      <c r="C995" s="3">
        <v>0.60555555555555551</v>
      </c>
      <c r="D995" s="2">
        <f>tb_dados[[#This Row],[Data]]+tb_dados[[#This Row],[Hora]]</f>
        <v>46082.605555555558</v>
      </c>
      <c r="E995" t="s">
        <v>10</v>
      </c>
      <c r="F995" t="s">
        <v>14</v>
      </c>
      <c r="G995" t="s">
        <v>17</v>
      </c>
      <c r="H995" s="4">
        <v>900</v>
      </c>
      <c r="I995" s="5">
        <v>2</v>
      </c>
      <c r="K995" t="s">
        <v>26</v>
      </c>
    </row>
    <row r="996" spans="1:11" x14ac:dyDescent="0.3">
      <c r="A996">
        <v>1994</v>
      </c>
      <c r="B996" s="1">
        <v>46099</v>
      </c>
      <c r="C996" s="3">
        <v>0.59583333333333333</v>
      </c>
      <c r="D996" s="2">
        <f>tb_dados[[#This Row],[Data]]+tb_dados[[#This Row],[Hora]]</f>
        <v>46099.595833333333</v>
      </c>
      <c r="E996" t="s">
        <v>12</v>
      </c>
      <c r="F996" t="s">
        <v>15</v>
      </c>
      <c r="G996" t="s">
        <v>20</v>
      </c>
      <c r="H996" s="4">
        <v>420</v>
      </c>
      <c r="I996" s="5">
        <v>1</v>
      </c>
      <c r="K996" t="s">
        <v>28</v>
      </c>
    </row>
    <row r="997" spans="1:11" x14ac:dyDescent="0.3">
      <c r="A997">
        <v>1995</v>
      </c>
      <c r="B997" s="1">
        <v>46085</v>
      </c>
      <c r="C997" s="3">
        <v>0.90347222222222223</v>
      </c>
      <c r="D997" s="2">
        <f>tb_dados[[#This Row],[Data]]+tb_dados[[#This Row],[Hora]]</f>
        <v>46085.90347222222</v>
      </c>
      <c r="E997" t="s">
        <v>10</v>
      </c>
      <c r="F997" t="s">
        <v>13</v>
      </c>
      <c r="G997" t="s">
        <v>17</v>
      </c>
      <c r="H997" s="4">
        <v>900</v>
      </c>
      <c r="I997" s="5">
        <v>3</v>
      </c>
      <c r="K997" t="s">
        <v>27</v>
      </c>
    </row>
    <row r="998" spans="1:11" x14ac:dyDescent="0.3">
      <c r="A998">
        <v>1996</v>
      </c>
      <c r="B998" s="1">
        <v>46105</v>
      </c>
      <c r="C998" s="3">
        <v>0.36041666666666666</v>
      </c>
      <c r="D998" s="2">
        <f>tb_dados[[#This Row],[Data]]+tb_dados[[#This Row],[Hora]]</f>
        <v>46105.36041666667</v>
      </c>
      <c r="E998" t="s">
        <v>11</v>
      </c>
      <c r="F998" t="s">
        <v>14</v>
      </c>
      <c r="G998" t="s">
        <v>21</v>
      </c>
      <c r="H998" s="4">
        <v>350</v>
      </c>
      <c r="I998" s="5">
        <v>3</v>
      </c>
      <c r="K998" t="s">
        <v>26</v>
      </c>
    </row>
    <row r="999" spans="1:11" x14ac:dyDescent="0.3">
      <c r="A999">
        <v>1997</v>
      </c>
      <c r="B999" s="1">
        <v>46100</v>
      </c>
      <c r="C999" s="3">
        <v>0.34166666666666662</v>
      </c>
      <c r="D999" s="2">
        <f>tb_dados[[#This Row],[Data]]+tb_dados[[#This Row],[Hora]]</f>
        <v>46100.341666666667</v>
      </c>
      <c r="E999" t="s">
        <v>12</v>
      </c>
      <c r="F999" t="s">
        <v>16</v>
      </c>
      <c r="G999" t="s">
        <v>20</v>
      </c>
      <c r="H999" s="4">
        <v>420</v>
      </c>
      <c r="I999" s="5">
        <v>1</v>
      </c>
      <c r="K999" t="s">
        <v>27</v>
      </c>
    </row>
    <row r="1000" spans="1:11" x14ac:dyDescent="0.3">
      <c r="A1000">
        <v>1998</v>
      </c>
      <c r="B1000" s="1">
        <v>46090</v>
      </c>
      <c r="C1000" s="3">
        <v>0.76666666666666661</v>
      </c>
      <c r="D1000" s="2">
        <f>tb_dados[[#This Row],[Data]]+tb_dados[[#This Row],[Hora]]</f>
        <v>46090.76666666667</v>
      </c>
      <c r="E1000" t="s">
        <v>11</v>
      </c>
      <c r="F1000" t="s">
        <v>13</v>
      </c>
      <c r="G1000" t="s">
        <v>24</v>
      </c>
      <c r="H1000" s="4">
        <v>280</v>
      </c>
      <c r="I1000" s="5">
        <v>1</v>
      </c>
      <c r="K1000" t="s">
        <v>26</v>
      </c>
    </row>
    <row r="1001" spans="1:11" x14ac:dyDescent="0.3">
      <c r="A1001">
        <v>1999</v>
      </c>
      <c r="B1001" s="1">
        <v>46083</v>
      </c>
      <c r="C1001" s="3">
        <v>0.48125000000000001</v>
      </c>
      <c r="D1001" s="2">
        <f>tb_dados[[#This Row],[Data]]+tb_dados[[#This Row],[Hora]]</f>
        <v>46083.481249999997</v>
      </c>
      <c r="E1001" t="s">
        <v>12</v>
      </c>
      <c r="F1001" t="s">
        <v>13</v>
      </c>
      <c r="G1001" t="s">
        <v>20</v>
      </c>
      <c r="H1001" s="4">
        <v>420</v>
      </c>
      <c r="I1001" s="5">
        <v>2</v>
      </c>
      <c r="K1001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9901-5E0E-471F-8442-EB64F359AA11}">
  <dimension ref="A1:L30"/>
  <sheetViews>
    <sheetView showGridLines="0" tabSelected="1" zoomScaleNormal="100" workbookViewId="0">
      <selection activeCell="G6" sqref="G6"/>
    </sheetView>
  </sheetViews>
  <sheetFormatPr defaultRowHeight="16.8" x14ac:dyDescent="0.4"/>
  <cols>
    <col min="1" max="14" width="18.77734375" style="11" customWidth="1"/>
    <col min="15" max="16384" width="8.88671875" style="11"/>
  </cols>
  <sheetData>
    <row r="1" spans="1:12" ht="28.05" customHeight="1" x14ac:dyDescent="0.4">
      <c r="A1" s="10" t="s">
        <v>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8.05" customHeight="1" x14ac:dyDescent="0.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8.05" customHeight="1" x14ac:dyDescent="0.4"/>
    <row r="4" spans="1:12" ht="28.05" customHeight="1" x14ac:dyDescent="0.4"/>
    <row r="5" spans="1:12" ht="28.05" customHeight="1" x14ac:dyDescent="0.4"/>
    <row r="6" spans="1:12" ht="28.05" customHeight="1" x14ac:dyDescent="0.4"/>
    <row r="7" spans="1:12" ht="28.05" customHeight="1" x14ac:dyDescent="0.4"/>
    <row r="8" spans="1:12" ht="28.05" customHeight="1" x14ac:dyDescent="0.4"/>
    <row r="9" spans="1:12" ht="28.05" customHeight="1" x14ac:dyDescent="0.4"/>
    <row r="10" spans="1:12" ht="28.05" customHeight="1" x14ac:dyDescent="0.4"/>
    <row r="11" spans="1:12" ht="28.05" customHeight="1" x14ac:dyDescent="0.4"/>
    <row r="12" spans="1:12" ht="28.05" customHeight="1" x14ac:dyDescent="0.4"/>
    <row r="13" spans="1:12" ht="28.05" customHeight="1" x14ac:dyDescent="0.4"/>
    <row r="14" spans="1:12" ht="28.05" customHeight="1" x14ac:dyDescent="0.4"/>
    <row r="15" spans="1:12" ht="28.05" customHeight="1" x14ac:dyDescent="0.4"/>
    <row r="16" spans="1:12" ht="28.05" customHeight="1" x14ac:dyDescent="0.4"/>
    <row r="17" ht="28.05" customHeight="1" x14ac:dyDescent="0.4"/>
    <row r="18" ht="28.05" customHeight="1" x14ac:dyDescent="0.4"/>
    <row r="19" ht="28.05" customHeight="1" x14ac:dyDescent="0.4"/>
    <row r="20" ht="28.05" customHeight="1" x14ac:dyDescent="0.4"/>
    <row r="21" ht="28.05" customHeight="1" x14ac:dyDescent="0.4"/>
    <row r="22" ht="28.05" customHeight="1" x14ac:dyDescent="0.4"/>
    <row r="23" ht="28.05" customHeight="1" x14ac:dyDescent="0.4"/>
    <row r="24" ht="28.05" customHeight="1" x14ac:dyDescent="0.4"/>
    <row r="25" ht="28.05" customHeight="1" x14ac:dyDescent="0.4"/>
    <row r="26" ht="28.05" customHeight="1" x14ac:dyDescent="0.4"/>
    <row r="27" ht="28.05" customHeight="1" x14ac:dyDescent="0.4"/>
    <row r="28" ht="28.05" customHeight="1" x14ac:dyDescent="0.4"/>
    <row r="29" ht="28.05" customHeight="1" x14ac:dyDescent="0.4"/>
    <row r="30" ht="28.05" customHeight="1" x14ac:dyDescent="0.4"/>
  </sheetData>
  <mergeCells count="1">
    <mergeCell ref="A1:L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EFB2-5681-49E9-8236-20E7908EB840}">
  <dimension ref="A1:M35"/>
  <sheetViews>
    <sheetView workbookViewId="0"/>
  </sheetViews>
  <sheetFormatPr defaultRowHeight="14.4" x14ac:dyDescent="0.3"/>
  <cols>
    <col min="1" max="1" width="11.77734375" bestFit="1" customWidth="1"/>
    <col min="2" max="2" width="8.5546875" bestFit="1" customWidth="1"/>
    <col min="3" max="3" width="11.5546875" bestFit="1" customWidth="1"/>
    <col min="4" max="4" width="10.33203125" bestFit="1" customWidth="1"/>
    <col min="6" max="6" width="16.77734375" bestFit="1" customWidth="1"/>
    <col min="7" max="7" width="11.77734375" bestFit="1" customWidth="1"/>
    <col min="8" max="8" width="10.33203125" bestFit="1" customWidth="1"/>
    <col min="9" max="9" width="16.77734375" bestFit="1" customWidth="1"/>
    <col min="10" max="10" width="11.77734375" bestFit="1" customWidth="1"/>
    <col min="11" max="11" width="10.33203125" bestFit="1" customWidth="1"/>
    <col min="12" max="12" width="16.77734375" bestFit="1" customWidth="1"/>
    <col min="13" max="13" width="11.77734375" bestFit="1" customWidth="1"/>
    <col min="14" max="14" width="10.33203125" bestFit="1" customWidth="1"/>
    <col min="15" max="15" width="16.77734375" bestFit="1" customWidth="1"/>
    <col min="16" max="16" width="11.77734375" bestFit="1" customWidth="1"/>
    <col min="17" max="17" width="3" bestFit="1" customWidth="1"/>
    <col min="18" max="18" width="21.33203125" bestFit="1" customWidth="1"/>
    <col min="19" max="19" width="18.109375" bestFit="1" customWidth="1"/>
    <col min="20" max="33" width="3" bestFit="1" customWidth="1"/>
    <col min="34" max="34" width="10" bestFit="1" customWidth="1"/>
    <col min="35" max="614" width="8.109375" bestFit="1" customWidth="1"/>
    <col min="615" max="615" width="10" bestFit="1" customWidth="1"/>
  </cols>
  <sheetData>
    <row r="1" spans="1:13" x14ac:dyDescent="0.3">
      <c r="A1" t="s">
        <v>33</v>
      </c>
      <c r="B1" t="s">
        <v>35</v>
      </c>
      <c r="C1" t="s">
        <v>36</v>
      </c>
      <c r="D1" t="s">
        <v>37</v>
      </c>
      <c r="F1" s="7" t="s">
        <v>29</v>
      </c>
      <c r="G1" t="s">
        <v>33</v>
      </c>
      <c r="I1" s="7" t="s">
        <v>29</v>
      </c>
      <c r="J1" t="s">
        <v>33</v>
      </c>
      <c r="L1" s="7" t="s">
        <v>29</v>
      </c>
      <c r="M1" t="s">
        <v>33</v>
      </c>
    </row>
    <row r="2" spans="1:13" x14ac:dyDescent="0.3">
      <c r="A2" s="6">
        <v>1120660</v>
      </c>
      <c r="B2" s="6">
        <v>1949</v>
      </c>
      <c r="C2" s="6">
        <v>1120.6600000000001</v>
      </c>
      <c r="D2" s="6">
        <v>1000</v>
      </c>
      <c r="F2" s="8" t="s">
        <v>31</v>
      </c>
      <c r="G2" s="6"/>
      <c r="I2" s="8" t="s">
        <v>11</v>
      </c>
      <c r="J2" s="6">
        <v>85640</v>
      </c>
      <c r="L2" s="8">
        <v>8</v>
      </c>
      <c r="M2" s="6">
        <v>53240</v>
      </c>
    </row>
    <row r="3" spans="1:13" x14ac:dyDescent="0.3">
      <c r="F3" s="9">
        <v>46078</v>
      </c>
      <c r="G3" s="6">
        <v>31510</v>
      </c>
      <c r="I3" s="8" t="s">
        <v>10</v>
      </c>
      <c r="J3" s="6">
        <v>826800</v>
      </c>
      <c r="L3" s="8">
        <v>9</v>
      </c>
      <c r="M3" s="6">
        <v>71280</v>
      </c>
    </row>
    <row r="4" spans="1:13" x14ac:dyDescent="0.3">
      <c r="A4" s="4">
        <f>GETPIVOTDATA("[Measures].[Receita Total]",$A$1)</f>
        <v>1120660</v>
      </c>
      <c r="B4">
        <f>GETPIVOTDATA("[Measures].[Qtd Total]",$B$1)</f>
        <v>1949</v>
      </c>
      <c r="C4" s="4">
        <f>GETPIVOTDATA("[Measures].[Ticket Médio]",$C$1)</f>
        <v>1120.6600000000001</v>
      </c>
      <c r="D4">
        <f>GETPIVOTDATA("[Measures].[Frequência]",$D$1)</f>
        <v>1000</v>
      </c>
      <c r="F4" s="9">
        <v>46079</v>
      </c>
      <c r="G4" s="6">
        <v>29570</v>
      </c>
      <c r="I4" s="8" t="s">
        <v>12</v>
      </c>
      <c r="J4" s="6">
        <v>208220</v>
      </c>
      <c r="L4" s="8">
        <v>10</v>
      </c>
      <c r="M4" s="6">
        <v>62130</v>
      </c>
    </row>
    <row r="5" spans="1:13" x14ac:dyDescent="0.3">
      <c r="F5" s="9">
        <v>46080</v>
      </c>
      <c r="G5" s="6">
        <v>28450</v>
      </c>
      <c r="I5" s="8" t="s">
        <v>30</v>
      </c>
      <c r="J5" s="6">
        <v>1120660</v>
      </c>
      <c r="L5" s="8">
        <v>11</v>
      </c>
      <c r="M5" s="6">
        <v>73550</v>
      </c>
    </row>
    <row r="6" spans="1:13" x14ac:dyDescent="0.3">
      <c r="F6" s="9">
        <v>46081</v>
      </c>
      <c r="G6" s="6">
        <v>39950</v>
      </c>
      <c r="L6" s="8">
        <v>12</v>
      </c>
      <c r="M6" s="6">
        <v>76690</v>
      </c>
    </row>
    <row r="7" spans="1:13" x14ac:dyDescent="0.3">
      <c r="F7" s="8" t="s">
        <v>32</v>
      </c>
      <c r="G7" s="6"/>
      <c r="L7" s="8">
        <v>13</v>
      </c>
      <c r="M7" s="6">
        <v>63540</v>
      </c>
    </row>
    <row r="8" spans="1:13" x14ac:dyDescent="0.3">
      <c r="F8" s="9">
        <v>46082</v>
      </c>
      <c r="G8" s="6">
        <v>28450</v>
      </c>
      <c r="L8" s="8">
        <v>14</v>
      </c>
      <c r="M8" s="6">
        <v>83750</v>
      </c>
    </row>
    <row r="9" spans="1:13" x14ac:dyDescent="0.3">
      <c r="F9" s="9">
        <v>46083</v>
      </c>
      <c r="G9" s="6">
        <v>35850</v>
      </c>
      <c r="L9" s="8">
        <v>15</v>
      </c>
      <c r="M9" s="6">
        <v>71140</v>
      </c>
    </row>
    <row r="10" spans="1:13" x14ac:dyDescent="0.3">
      <c r="F10" s="9">
        <v>46084</v>
      </c>
      <c r="G10" s="6">
        <v>29110</v>
      </c>
      <c r="L10" s="8">
        <v>16</v>
      </c>
      <c r="M10" s="6">
        <v>67320</v>
      </c>
    </row>
    <row r="11" spans="1:13" x14ac:dyDescent="0.3">
      <c r="F11" s="9">
        <v>46085</v>
      </c>
      <c r="G11" s="6">
        <v>41450</v>
      </c>
      <c r="L11" s="8">
        <v>17</v>
      </c>
      <c r="M11" s="6">
        <v>75890</v>
      </c>
    </row>
    <row r="12" spans="1:13" x14ac:dyDescent="0.3">
      <c r="F12" s="9">
        <v>46086</v>
      </c>
      <c r="G12" s="6">
        <v>56620</v>
      </c>
      <c r="L12" s="8">
        <v>18</v>
      </c>
      <c r="M12" s="6">
        <v>78960</v>
      </c>
    </row>
    <row r="13" spans="1:13" x14ac:dyDescent="0.3">
      <c r="F13" s="9">
        <v>46087</v>
      </c>
      <c r="G13" s="6">
        <v>36850</v>
      </c>
      <c r="L13" s="8">
        <v>19</v>
      </c>
      <c r="M13" s="6">
        <v>77680</v>
      </c>
    </row>
    <row r="14" spans="1:13" x14ac:dyDescent="0.3">
      <c r="F14" s="9">
        <v>46088</v>
      </c>
      <c r="G14" s="6">
        <v>35380</v>
      </c>
      <c r="L14" s="8">
        <v>20</v>
      </c>
      <c r="M14" s="6">
        <v>96870</v>
      </c>
    </row>
    <row r="15" spans="1:13" x14ac:dyDescent="0.3">
      <c r="F15" s="9">
        <v>46089</v>
      </c>
      <c r="G15" s="6">
        <v>26680</v>
      </c>
      <c r="L15" s="8">
        <v>21</v>
      </c>
      <c r="M15" s="6">
        <v>82570</v>
      </c>
    </row>
    <row r="16" spans="1:13" x14ac:dyDescent="0.3">
      <c r="F16" s="9">
        <v>46090</v>
      </c>
      <c r="G16" s="6">
        <v>57500</v>
      </c>
      <c r="L16" s="8">
        <v>22</v>
      </c>
      <c r="M16" s="6">
        <v>86050</v>
      </c>
    </row>
    <row r="17" spans="6:13" x14ac:dyDescent="0.3">
      <c r="F17" s="9">
        <v>46091</v>
      </c>
      <c r="G17" s="6">
        <v>19790</v>
      </c>
      <c r="L17" s="8" t="s">
        <v>30</v>
      </c>
      <c r="M17" s="6">
        <v>1120660</v>
      </c>
    </row>
    <row r="18" spans="6:13" x14ac:dyDescent="0.3">
      <c r="F18" s="9">
        <v>46092</v>
      </c>
      <c r="G18" s="6">
        <v>35690</v>
      </c>
    </row>
    <row r="19" spans="6:13" x14ac:dyDescent="0.3">
      <c r="F19" s="9">
        <v>46093</v>
      </c>
      <c r="G19" s="6">
        <v>26930</v>
      </c>
    </row>
    <row r="20" spans="6:13" x14ac:dyDescent="0.3">
      <c r="F20" s="9">
        <v>46094</v>
      </c>
      <c r="G20" s="6">
        <v>34690</v>
      </c>
    </row>
    <row r="21" spans="6:13" x14ac:dyDescent="0.3">
      <c r="F21" s="9">
        <v>46095</v>
      </c>
      <c r="G21" s="6">
        <v>42080</v>
      </c>
    </row>
    <row r="22" spans="6:13" x14ac:dyDescent="0.3">
      <c r="F22" s="9">
        <v>46096</v>
      </c>
      <c r="G22" s="6">
        <v>38810</v>
      </c>
    </row>
    <row r="23" spans="6:13" x14ac:dyDescent="0.3">
      <c r="F23" s="9">
        <v>46097</v>
      </c>
      <c r="G23" s="6">
        <v>27060</v>
      </c>
    </row>
    <row r="24" spans="6:13" x14ac:dyDescent="0.3">
      <c r="F24" s="9">
        <v>46098</v>
      </c>
      <c r="G24" s="6">
        <v>45860</v>
      </c>
    </row>
    <row r="25" spans="6:13" x14ac:dyDescent="0.3">
      <c r="F25" s="9">
        <v>46099</v>
      </c>
      <c r="G25" s="6">
        <v>39810</v>
      </c>
    </row>
    <row r="26" spans="6:13" x14ac:dyDescent="0.3">
      <c r="F26" s="9">
        <v>46100</v>
      </c>
      <c r="G26" s="6">
        <v>46210</v>
      </c>
    </row>
    <row r="27" spans="6:13" x14ac:dyDescent="0.3">
      <c r="F27" s="9">
        <v>46101</v>
      </c>
      <c r="G27" s="6">
        <v>76900</v>
      </c>
    </row>
    <row r="28" spans="6:13" x14ac:dyDescent="0.3">
      <c r="F28" s="9">
        <v>46102</v>
      </c>
      <c r="G28" s="6">
        <v>41130</v>
      </c>
    </row>
    <row r="29" spans="6:13" x14ac:dyDescent="0.3">
      <c r="F29" s="9">
        <v>46103</v>
      </c>
      <c r="G29" s="6">
        <v>29370</v>
      </c>
    </row>
    <row r="30" spans="6:13" x14ac:dyDescent="0.3">
      <c r="F30" s="9">
        <v>46104</v>
      </c>
      <c r="G30" s="6">
        <v>33910</v>
      </c>
    </row>
    <row r="31" spans="6:13" x14ac:dyDescent="0.3">
      <c r="F31" s="9">
        <v>46105</v>
      </c>
      <c r="G31" s="6">
        <v>28020</v>
      </c>
    </row>
    <row r="32" spans="6:13" x14ac:dyDescent="0.3">
      <c r="F32" s="9">
        <v>46106</v>
      </c>
      <c r="G32" s="6">
        <v>28790</v>
      </c>
    </row>
    <row r="33" spans="6:7" x14ac:dyDescent="0.3">
      <c r="F33" s="9">
        <v>46107</v>
      </c>
      <c r="G33" s="6">
        <v>19910</v>
      </c>
    </row>
    <row r="34" spans="6:7" x14ac:dyDescent="0.3">
      <c r="F34" s="9">
        <v>46108</v>
      </c>
      <c r="G34" s="6">
        <v>28330</v>
      </c>
    </row>
    <row r="35" spans="6:7" x14ac:dyDescent="0.3">
      <c r="F35" s="8" t="s">
        <v>30</v>
      </c>
      <c r="G35" s="6">
        <v>1120660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447CD63A-8DAB-43B7-9DF1-A9C3D17D1254}">
  <ds:schemaRefs/>
</ds:datastoreItem>
</file>

<file path=customXml/itemProps2.xml><?xml version="1.0" encoding="utf-8"?>
<ds:datastoreItem xmlns:ds="http://schemas.openxmlformats.org/officeDocument/2006/customXml" ds:itemID="{ED440A91-8E59-43B9-AE19-4158152353CF}">
  <ds:schemaRefs/>
</ds:datastoreItem>
</file>

<file path=customXml/itemProps3.xml><?xml version="1.0" encoding="utf-8"?>
<ds:datastoreItem xmlns:ds="http://schemas.openxmlformats.org/officeDocument/2006/customXml" ds:itemID="{641D073E-4D0C-4567-96C0-261253A6F6DE}">
  <ds:schemaRefs/>
</ds:datastoreItem>
</file>

<file path=customXml/itemProps4.xml><?xml version="1.0" encoding="utf-8"?>
<ds:datastoreItem xmlns:ds="http://schemas.openxmlformats.org/officeDocument/2006/customXml" ds:itemID="{6A698CB4-16CB-458D-A945-F1FEB75D8CA6}">
  <ds:schemaRefs/>
</ds:datastoreItem>
</file>

<file path=customXml/itemProps5.xml><?xml version="1.0" encoding="utf-8"?>
<ds:datastoreItem xmlns:ds="http://schemas.openxmlformats.org/officeDocument/2006/customXml" ds:itemID="{464EDF3B-1AD3-40BC-BDC2-715146BADFA1}">
  <ds:schemaRefs/>
</ds:datastoreItem>
</file>

<file path=customXml/itemProps6.xml><?xml version="1.0" encoding="utf-8"?>
<ds:datastoreItem xmlns:ds="http://schemas.openxmlformats.org/officeDocument/2006/customXml" ds:itemID="{CD88AC52-D14B-4694-9DB7-20AF40793D93}">
  <ds:schemaRefs/>
</ds:datastoreItem>
</file>

<file path=customXml/itemProps7.xml><?xml version="1.0" encoding="utf-8"?>
<ds:datastoreItem xmlns:ds="http://schemas.openxmlformats.org/officeDocument/2006/customXml" ds:itemID="{F3816741-C677-46E9-96BF-C2FC05FB849D}">
  <ds:schemaRefs/>
</ds:datastoreItem>
</file>

<file path=customXml/itemProps8.xml><?xml version="1.0" encoding="utf-8"?>
<ds:datastoreItem xmlns:ds="http://schemas.openxmlformats.org/officeDocument/2006/customXml" ds:itemID="{F7C52225-0593-475A-A0ED-072F1C9B14ED}">
  <ds:schemaRefs/>
</ds:datastoreItem>
</file>

<file path=customXml/itemProps9.xml><?xml version="1.0" encoding="utf-8"?>
<ds:datastoreItem xmlns:ds="http://schemas.openxmlformats.org/officeDocument/2006/customXml" ds:itemID="{3B6AB423-1CF9-4D41-9577-956C88B11B05}">
  <ds:schemaRefs/>
</ds:datastoreItem>
</file>

<file path=customXml/itemProps10.xml><?xml version="1.0" encoding="utf-8"?>
<ds:datastoreItem xmlns:ds="http://schemas.openxmlformats.org/officeDocument/2006/customXml" ds:itemID="{55F095ED-EB43-47DA-A284-5E5A17458FCF}">
  <ds:schemaRefs/>
</ds:datastoreItem>
</file>

<file path=customXml/itemProps11.xml><?xml version="1.0" encoding="utf-8"?>
<ds:datastoreItem xmlns:ds="http://schemas.openxmlformats.org/officeDocument/2006/customXml" ds:itemID="{8103D09A-AFAF-451C-B997-E2751A2F91F1}">
  <ds:schemaRefs/>
</ds:datastoreItem>
</file>

<file path=customXml/itemProps12.xml><?xml version="1.0" encoding="utf-8"?>
<ds:datastoreItem xmlns:ds="http://schemas.openxmlformats.org/officeDocument/2006/customXml" ds:itemID="{A9EDFE8D-FEA0-4740-81E0-3B453A7A3399}">
  <ds:schemaRefs/>
</ds:datastoreItem>
</file>

<file path=customXml/itemProps13.xml><?xml version="1.0" encoding="utf-8"?>
<ds:datastoreItem xmlns:ds="http://schemas.openxmlformats.org/officeDocument/2006/customXml" ds:itemID="{18324145-AA16-4546-9D0A-163280E18037}">
  <ds:schemaRefs/>
</ds:datastoreItem>
</file>

<file path=customXml/itemProps14.xml><?xml version="1.0" encoding="utf-8"?>
<ds:datastoreItem xmlns:ds="http://schemas.openxmlformats.org/officeDocument/2006/customXml" ds:itemID="{058DD80F-108C-48AA-BB1B-4B3CD57A79F0}">
  <ds:schemaRefs/>
</ds:datastoreItem>
</file>

<file path=customXml/itemProps15.xml><?xml version="1.0" encoding="utf-8"?>
<ds:datastoreItem xmlns:ds="http://schemas.openxmlformats.org/officeDocument/2006/customXml" ds:itemID="{CA5FFF0E-930B-4313-AEB8-DA35425AA41D}">
  <ds:schemaRefs/>
</ds:datastoreItem>
</file>

<file path=customXml/itemProps16.xml><?xml version="1.0" encoding="utf-8"?>
<ds:datastoreItem xmlns:ds="http://schemas.openxmlformats.org/officeDocument/2006/customXml" ds:itemID="{E4544541-77CC-4502-BE1A-B4A6990790EF}">
  <ds:schemaRefs/>
</ds:datastoreItem>
</file>

<file path=customXml/itemProps17.xml><?xml version="1.0" encoding="utf-8"?>
<ds:datastoreItem xmlns:ds="http://schemas.openxmlformats.org/officeDocument/2006/customXml" ds:itemID="{963A9932-22AB-429D-B0AA-25032D964436}">
  <ds:schemaRefs/>
</ds:datastoreItem>
</file>

<file path=customXml/itemProps18.xml><?xml version="1.0" encoding="utf-8"?>
<ds:datastoreItem xmlns:ds="http://schemas.openxmlformats.org/officeDocument/2006/customXml" ds:itemID="{F9337F5E-D948-45A5-A298-453EC1474467}">
  <ds:schemaRefs/>
</ds:datastoreItem>
</file>

<file path=customXml/itemProps19.xml><?xml version="1.0" encoding="utf-8"?>
<ds:datastoreItem xmlns:ds="http://schemas.openxmlformats.org/officeDocument/2006/customXml" ds:itemID="{4D025E89-80D6-4F74-B7FB-EA560FF232FB}">
  <ds:schemaRefs/>
</ds:datastoreItem>
</file>

<file path=customXml/itemProps20.xml><?xml version="1.0" encoding="utf-8"?>
<ds:datastoreItem xmlns:ds="http://schemas.openxmlformats.org/officeDocument/2006/customXml" ds:itemID="{C6D893C8-B679-452E-B706-79FB27521E57}">
  <ds:schemaRefs/>
</ds:datastoreItem>
</file>

<file path=customXml/itemProps21.xml><?xml version="1.0" encoding="utf-8"?>
<ds:datastoreItem xmlns:ds="http://schemas.openxmlformats.org/officeDocument/2006/customXml" ds:itemID="{CCDA3C52-7144-4B41-A941-ABE53980F8CB}">
  <ds:schemaRefs/>
</ds:datastoreItem>
</file>

<file path=customXml/itemProps22.xml><?xml version="1.0" encoding="utf-8"?>
<ds:datastoreItem xmlns:ds="http://schemas.openxmlformats.org/officeDocument/2006/customXml" ds:itemID="{A12AB018-D451-494C-92ED-7435F708B493}">
  <ds:schemaRefs/>
</ds:datastoreItem>
</file>

<file path=customXml/itemProps23.xml><?xml version="1.0" encoding="utf-8"?>
<ds:datastoreItem xmlns:ds="http://schemas.openxmlformats.org/officeDocument/2006/customXml" ds:itemID="{14B886E5-840C-43B1-B55D-C6356FCE6942}">
  <ds:schemaRefs/>
</ds:datastoreItem>
</file>

<file path=customXml/itemProps24.xml><?xml version="1.0" encoding="utf-8"?>
<ds:datastoreItem xmlns:ds="http://schemas.openxmlformats.org/officeDocument/2006/customXml" ds:itemID="{490392CC-D60F-4C96-89BA-0D95180D8195}">
  <ds:schemaRefs/>
</ds:datastoreItem>
</file>

<file path=customXml/itemProps25.xml><?xml version="1.0" encoding="utf-8"?>
<ds:datastoreItem xmlns:ds="http://schemas.openxmlformats.org/officeDocument/2006/customXml" ds:itemID="{419D5339-0D49-41FB-8A0A-B45CA18B01AA}">
  <ds:schemaRefs/>
</ds:datastoreItem>
</file>

<file path=customXml/itemProps26.xml><?xml version="1.0" encoding="utf-8"?>
<ds:datastoreItem xmlns:ds="http://schemas.openxmlformats.org/officeDocument/2006/customXml" ds:itemID="{20EED84C-8BCB-4FE5-A9EC-4509966D2143}">
  <ds:schemaRefs/>
</ds:datastoreItem>
</file>

<file path=customXml/itemProps27.xml><?xml version="1.0" encoding="utf-8"?>
<ds:datastoreItem xmlns:ds="http://schemas.openxmlformats.org/officeDocument/2006/customXml" ds:itemID="{B2987C16-F2D9-4DD3-A962-1E3868885C87}">
  <ds:schemaRefs/>
</ds:datastoreItem>
</file>

<file path=customXml/itemProps28.xml><?xml version="1.0" encoding="utf-8"?>
<ds:datastoreItem xmlns:ds="http://schemas.openxmlformats.org/officeDocument/2006/customXml" ds:itemID="{1A840FE2-3416-49E5-AB54-088C37222A56}">
  <ds:schemaRefs/>
</ds:datastoreItem>
</file>

<file path=customXml/itemProps29.xml><?xml version="1.0" encoding="utf-8"?>
<ds:datastoreItem xmlns:ds="http://schemas.openxmlformats.org/officeDocument/2006/customXml" ds:itemID="{67106B9D-19D3-47CB-B36E-835B8746A8ED}">
  <ds:schemaRefs/>
</ds:datastoreItem>
</file>

<file path=customXml/itemProps30.xml><?xml version="1.0" encoding="utf-8"?>
<ds:datastoreItem xmlns:ds="http://schemas.openxmlformats.org/officeDocument/2006/customXml" ds:itemID="{B55B86A7-FF1C-4946-AAFD-DCA5EA2052FB}">
  <ds:schemaRefs/>
</ds:datastoreItem>
</file>

<file path=customXml/itemProps31.xml><?xml version="1.0" encoding="utf-8"?>
<ds:datastoreItem xmlns:ds="http://schemas.openxmlformats.org/officeDocument/2006/customXml" ds:itemID="{089B535A-89F7-4E66-9330-969EE9982C54}">
  <ds:schemaRefs/>
</ds:datastoreItem>
</file>

<file path=customXml/itemProps32.xml><?xml version="1.0" encoding="utf-8"?>
<ds:datastoreItem xmlns:ds="http://schemas.openxmlformats.org/officeDocument/2006/customXml" ds:itemID="{F077B64C-3E96-4345-BDBD-3AAB2B6145F9}">
  <ds:schemaRefs/>
</ds:datastoreItem>
</file>

<file path=customXml/itemProps33.xml><?xml version="1.0" encoding="utf-8"?>
<ds:datastoreItem xmlns:ds="http://schemas.openxmlformats.org/officeDocument/2006/customXml" ds:itemID="{E8A29695-EA91-4581-928B-E1D2A27D5D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BASE_DADOS</vt:lpstr>
      <vt:lpstr>DASHBOARD</vt:lpstr>
      <vt:lpstr>apoio_dash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Higgor Sampaio Alves</dc:creator>
  <cp:lastModifiedBy>Higgor Sampaio Alves</cp:lastModifiedBy>
  <dcterms:created xsi:type="dcterms:W3CDTF">2026-03-27T18:51:35Z</dcterms:created>
  <dcterms:modified xsi:type="dcterms:W3CDTF">2026-03-31T17:59:27Z</dcterms:modified>
</cp:coreProperties>
</file>